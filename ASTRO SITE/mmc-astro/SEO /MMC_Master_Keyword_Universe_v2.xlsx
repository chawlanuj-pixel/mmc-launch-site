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Keywords" sheetId="2" state="visible" r:id="rId4"/>
    <sheet name="Summary" sheetId="3" state="visible" r:id="rId5"/>
    <sheet name="City Intelligence" sheetId="4" state="visible" r:id="rId6"/>
    <sheet name="Exclusions" sheetId="5" state="visible" r:id="rId7"/>
    <sheet name="Weights" sheetId="6" state="visible" r:id="rId8"/>
  </sheets>
  <definedNames>
    <definedName function="false" hidden="true" localSheetId="1" name="_xlnm._FilterDatabase" vbProcedure="false">Keywords!$A$1:$Q$1355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<sst xmlns="http://schemas.openxmlformats.org/spreadsheetml/2006/main" count="12622" uniqueCount="1649">
  <si>
    <t xml:space="preserve">MMC Master Keyword Universe v2 (merged 2 Oct 2026: MMC strategy + 2 Oct keyword opportunity doc)</t>
  </si>
  <si>
    <t xml:space="preserve">What this is</t>
  </si>
  <si>
    <t xml:space="preserve">Every keyword MMC should check, by service, market and city. Search volume columns are EMPTY on purpose: no keyword tool was connected, and no number here is invented.</t>
  </si>
  <si>
    <t xml:space="preserve">How to fill volumes (cells to edit are shaded yellow on the Keywords sheet)</t>
  </si>
  <si>
    <t xml:space="preserve">1. Google Keyword Planner (Google's own data, supports CITY targeting): Tools &gt; Keyword Planner &gt; Get search volume and forecasts. Paste the keywords for one 'GKP Location' at a time, set that location, language English, last 12 months. Paste the result into 'GKP Avg Monthly (range or number)'.</t>
  </si>
  <si>
    <t xml:space="preserve">   Without active ad spend, GKP shows ranges such as 100 to 1K. With spend, it shows rounded averages. Neither is 'exact'; Google does not publish exact counts.</t>
  </si>
  <si>
    <t xml:space="preserve">2. Ahrefs or Semrush (modelled estimates, COUNTRY level only): Keywords Explorer, country = IN / AE / US / CA / AU. Paste the keyword column (up to 10,000), export, paste Volume, KD and CPC into the yellow columns.</t>
  </si>
  <si>
    <t xml:space="preserve">   City keywords such as 'meta ads agency in pune' are measured nationally in Ahrefs because the city is inside the query text. That is correct for this sheet.</t>
  </si>
  <si>
    <t xml:space="preserve">3. The 'Opportunity Score' and the 'Summary' sheet calculate automatically once 'Ahrefs/Semrush Volume' is filled.</t>
  </si>
  <si>
    <t xml:space="preserve">Example of a filled row (format only, NOT real data)</t>
  </si>
  <si>
    <t xml:space="preserve">Keyword: meta ads agency in pune | GKP: 10 to 100 | Ahrefs Volume: 40 | KD: 12 | CPC (USD): 1.10</t>
  </si>
  <si>
    <t xml:space="preserve">Priority codes</t>
  </si>
  <si>
    <t xml:space="preserve">1 = build first (Tier 1 India/UAE). 2 = build after proof exists. 3 = attach service, low SEO effort. 4 = monitor only, do not build a page.</t>
  </si>
  <si>
    <t xml:space="preserve">Scoring logic (editable on the Weights sheet)</t>
  </si>
  <si>
    <t xml:space="preserve">Opportunity Score = Volume x Intent weight x Market weight x Priority weight / (1 + KD/50). It ranks keywords by commercial value, not traffic. Low-volume Decision keywords in India and UAE should outrank high-volume informational ones.</t>
  </si>
  <si>
    <t xml:space="preserve">'Count in totals' = N for spelling/phrasing variants (Gurgaon/Gurugram, Bangalore/Bengaluru, 'in dubai'/'dubai'). Keyword Planner already groups close variants, so they are excluded from Summary totals to avoid double counting.</t>
  </si>
  <si>
    <t xml:space="preserve">Priority changes from v1: B2B lead generation and Education are P2 (P1 only once live paying clients with numbers exist). Quick commerce and Amazon stay P1 in the sheet but must be downgraded to P2 if no live account proof exists. London and Singapore are out of scope.</t>
  </si>
  <si>
    <t xml:space="preserve">#</t>
  </si>
  <si>
    <t xml:space="preserve">Keyword</t>
  </si>
  <si>
    <t xml:space="preserve">Service</t>
  </si>
  <si>
    <t xml:space="preserve">Cluster</t>
  </si>
  <si>
    <t xml:space="preserve">Market</t>
  </si>
  <si>
    <t xml:space="preserve">GKP Location</t>
  </si>
  <si>
    <t xml:space="preserve">Intent</t>
  </si>
  <si>
    <t xml:space="preserve">Funnel stage</t>
  </si>
  <si>
    <t xml:space="preserve">Target page</t>
  </si>
  <si>
    <t xml:space="preserve">Priority</t>
  </si>
  <si>
    <t xml:space="preserve">Notes</t>
  </si>
  <si>
    <t xml:space="preserve">GKP Avg Monthly (range or number)</t>
  </si>
  <si>
    <t xml:space="preserve">Ahrefs/Semrush Volume</t>
  </si>
  <si>
    <t xml:space="preserve">KD</t>
  </si>
  <si>
    <t xml:space="preserve">CPC (USD)</t>
  </si>
  <si>
    <t xml:space="preserve">Opportunity Score</t>
  </si>
  <si>
    <t xml:space="preserve">Count in totals</t>
  </si>
  <si>
    <t xml:space="preserve">performance marketing agency in mumbai</t>
  </si>
  <si>
    <t xml:space="preserve">Performance marketing</t>
  </si>
  <si>
    <t xml:space="preserve">Service + city</t>
  </si>
  <si>
    <t xml:space="preserve">India</t>
  </si>
  <si>
    <t xml:space="preserve">Mumbai, Maharashtra, India</t>
  </si>
  <si>
    <t xml:space="preserve">Commercial</t>
  </si>
  <si>
    <t xml:space="preserve">Decision</t>
  </si>
  <si>
    <t xml:space="preserve">Hub (national) / city section</t>
  </si>
  <si>
    <t xml:space="preserve">Y</t>
  </si>
  <si>
    <t xml:space="preserve">digital marketing agency for ecommerce in mumbai</t>
  </si>
  <si>
    <t xml:space="preserve">Hub (national)</t>
  </si>
  <si>
    <t xml:space="preserve">d2c marketing agency in mumbai</t>
  </si>
  <si>
    <t xml:space="preserve">facebook ads agency in mumbai</t>
  </si>
  <si>
    <t xml:space="preserve">Meta Ads</t>
  </si>
  <si>
    <t xml:space="preserve">Meta Ads spoke</t>
  </si>
  <si>
    <t xml:space="preserve">meta ads agency in mumbai</t>
  </si>
  <si>
    <t xml:space="preserve">google ads agency in mumbai</t>
  </si>
  <si>
    <t xml:space="preserve">Google Ads</t>
  </si>
  <si>
    <t xml:space="preserve">Google Ads spoke</t>
  </si>
  <si>
    <t xml:space="preserve">amazon marketing agency in mumbai</t>
  </si>
  <si>
    <t xml:space="preserve">Amazon Ads</t>
  </si>
  <si>
    <t xml:space="preserve">Amazon Ads spoke</t>
  </si>
  <si>
    <t xml:space="preserve">shopify developer in mumbai</t>
  </si>
  <si>
    <t xml:space="preserve">Shopify development</t>
  </si>
  <si>
    <t xml:space="preserve">Shopify page</t>
  </si>
  <si>
    <t xml:space="preserve">shopify development company in mumbai</t>
  </si>
  <si>
    <t xml:space="preserve">seo agency in mumbai</t>
  </si>
  <si>
    <t xml:space="preserve">SEO / AEO / GEO</t>
  </si>
  <si>
    <t xml:space="preserve">SEO page</t>
  </si>
  <si>
    <t xml:space="preserve">social media marketing agency in mumbai</t>
  </si>
  <si>
    <t xml:space="preserve">Performance creatives</t>
  </si>
  <si>
    <t xml:space="preserve">influencer marketing agency in mumbai</t>
  </si>
  <si>
    <t xml:space="preserve">Influencer marketing</t>
  </si>
  <si>
    <t xml:space="preserve">Influencer page</t>
  </si>
  <si>
    <t xml:space="preserve">branding agency in mumbai</t>
  </si>
  <si>
    <t xml:space="preserve">Branding / D2C launch</t>
  </si>
  <si>
    <t xml:space="preserve">D2C brand launch</t>
  </si>
  <si>
    <t xml:space="preserve">packaging design agency in mumbai</t>
  </si>
  <si>
    <t xml:space="preserve">ugc agency in mumbai</t>
  </si>
  <si>
    <t xml:space="preserve">b2b lead generation agency in mumbai</t>
  </si>
  <si>
    <t xml:space="preserve">B2B lead generation</t>
  </si>
  <si>
    <t xml:space="preserve">B2B lead generation page</t>
  </si>
  <si>
    <t xml:space="preserve">b2b digital marketing agency in mumbai</t>
  </si>
  <si>
    <t xml:space="preserve">education marketing agency in mumbai</t>
  </si>
  <si>
    <t xml:space="preserve">Education marketing</t>
  </si>
  <si>
    <t xml:space="preserve">Education industry page</t>
  </si>
  <si>
    <t xml:space="preserve">performance marketing agency in thane</t>
  </si>
  <si>
    <t xml:space="preserve">Thane, Maharashtra, India</t>
  </si>
  <si>
    <t xml:space="preserve">digital marketing agency for ecommerce in thane</t>
  </si>
  <si>
    <t xml:space="preserve">d2c marketing agency in thane</t>
  </si>
  <si>
    <t xml:space="preserve">facebook ads agency in thane</t>
  </si>
  <si>
    <t xml:space="preserve">meta ads agency in thane</t>
  </si>
  <si>
    <t xml:space="preserve">google ads agency in thane</t>
  </si>
  <si>
    <t xml:space="preserve">amazon marketing agency in thane</t>
  </si>
  <si>
    <t xml:space="preserve">shopify developer in thane</t>
  </si>
  <si>
    <t xml:space="preserve">shopify development company in thane</t>
  </si>
  <si>
    <t xml:space="preserve">seo agency in thane</t>
  </si>
  <si>
    <t xml:space="preserve">social media marketing agency in thane</t>
  </si>
  <si>
    <t xml:space="preserve">influencer marketing agency in thane</t>
  </si>
  <si>
    <t xml:space="preserve">branding agency in thane</t>
  </si>
  <si>
    <t xml:space="preserve">packaging design agency in thane</t>
  </si>
  <si>
    <t xml:space="preserve">ugc agency in thane</t>
  </si>
  <si>
    <t xml:space="preserve">b2b lead generation agency in thane</t>
  </si>
  <si>
    <t xml:space="preserve">b2b digital marketing agency in thane</t>
  </si>
  <si>
    <t xml:space="preserve">education marketing agency in thane</t>
  </si>
  <si>
    <t xml:space="preserve">performance marketing agency in delhi</t>
  </si>
  <si>
    <t xml:space="preserve">Delhi, India</t>
  </si>
  <si>
    <t xml:space="preserve">digital marketing agency for ecommerce in delhi</t>
  </si>
  <si>
    <t xml:space="preserve">d2c marketing agency in delhi</t>
  </si>
  <si>
    <t xml:space="preserve">facebook ads agency in delhi</t>
  </si>
  <si>
    <t xml:space="preserve">meta ads agency in delhi</t>
  </si>
  <si>
    <t xml:space="preserve">google ads agency in delhi</t>
  </si>
  <si>
    <t xml:space="preserve">amazon marketing agency in delhi</t>
  </si>
  <si>
    <t xml:space="preserve">shopify developer in delhi</t>
  </si>
  <si>
    <t xml:space="preserve">shopify development company in delhi</t>
  </si>
  <si>
    <t xml:space="preserve">seo agency in delhi</t>
  </si>
  <si>
    <t xml:space="preserve">social media marketing agency in delhi</t>
  </si>
  <si>
    <t xml:space="preserve">influencer marketing agency in delhi</t>
  </si>
  <si>
    <t xml:space="preserve">branding agency in delhi</t>
  </si>
  <si>
    <t xml:space="preserve">packaging design agency in delhi</t>
  </si>
  <si>
    <t xml:space="preserve">ugc agency in delhi</t>
  </si>
  <si>
    <t xml:space="preserve">b2b lead generation agency in delhi</t>
  </si>
  <si>
    <t xml:space="preserve">b2b digital marketing agency in delhi</t>
  </si>
  <si>
    <t xml:space="preserve">education marketing agency in delhi</t>
  </si>
  <si>
    <t xml:space="preserve">performance marketing agency in gurgaon</t>
  </si>
  <si>
    <t xml:space="preserve">Gurugram, Haryana, India</t>
  </si>
  <si>
    <t xml:space="preserve">performance marketing agency in gurugram</t>
  </si>
  <si>
    <t xml:space="preserve">Spelling variant: same page as primary</t>
  </si>
  <si>
    <t xml:space="preserve">N</t>
  </si>
  <si>
    <t xml:space="preserve">digital marketing agency for ecommerce in gurgaon</t>
  </si>
  <si>
    <t xml:space="preserve">digital marketing agency for ecommerce in gurugram</t>
  </si>
  <si>
    <t xml:space="preserve">d2c marketing agency in gurgaon</t>
  </si>
  <si>
    <t xml:space="preserve">d2c marketing agency in gurugram</t>
  </si>
  <si>
    <t xml:space="preserve">facebook ads agency in gurgaon</t>
  </si>
  <si>
    <t xml:space="preserve">facebook ads agency in gurugram</t>
  </si>
  <si>
    <t xml:space="preserve">meta ads agency in gurgaon</t>
  </si>
  <si>
    <t xml:space="preserve">meta ads agency in gurugram</t>
  </si>
  <si>
    <t xml:space="preserve">google ads agency in gurgaon</t>
  </si>
  <si>
    <t xml:space="preserve">google ads agency in gurugram</t>
  </si>
  <si>
    <t xml:space="preserve">amazon marketing agency in gurgaon</t>
  </si>
  <si>
    <t xml:space="preserve">amazon marketing agency in gurugram</t>
  </si>
  <si>
    <t xml:space="preserve">shopify developer in gurgaon</t>
  </si>
  <si>
    <t xml:space="preserve">shopify developer in gurugram</t>
  </si>
  <si>
    <t xml:space="preserve">shopify development company in gurgaon</t>
  </si>
  <si>
    <t xml:space="preserve">shopify development company in gurugram</t>
  </si>
  <si>
    <t xml:space="preserve">seo agency in gurgaon</t>
  </si>
  <si>
    <t xml:space="preserve">seo agency in gurugram</t>
  </si>
  <si>
    <t xml:space="preserve">social media marketing agency in gurgaon</t>
  </si>
  <si>
    <t xml:space="preserve">social media marketing agency in gurugram</t>
  </si>
  <si>
    <t xml:space="preserve">influencer marketing agency in gurgaon</t>
  </si>
  <si>
    <t xml:space="preserve">influencer marketing agency in gurugram</t>
  </si>
  <si>
    <t xml:space="preserve">branding agency in gurgaon</t>
  </si>
  <si>
    <t xml:space="preserve">branding agency in gurugram</t>
  </si>
  <si>
    <t xml:space="preserve">packaging design agency in gurgaon</t>
  </si>
  <si>
    <t xml:space="preserve">packaging design agency in gurugram</t>
  </si>
  <si>
    <t xml:space="preserve">ugc agency in gurgaon</t>
  </si>
  <si>
    <t xml:space="preserve">ugc agency in gurugram</t>
  </si>
  <si>
    <t xml:space="preserve">b2b lead generation agency in gurgaon</t>
  </si>
  <si>
    <t xml:space="preserve">b2b lead generation agency in gurugram</t>
  </si>
  <si>
    <t xml:space="preserve">b2b digital marketing agency in gurgaon</t>
  </si>
  <si>
    <t xml:space="preserve">b2b digital marketing agency in gurugram</t>
  </si>
  <si>
    <t xml:space="preserve">education marketing agency in gurgaon</t>
  </si>
  <si>
    <t xml:space="preserve">education marketing agency in gurugram</t>
  </si>
  <si>
    <t xml:space="preserve">performance marketing agency in noida</t>
  </si>
  <si>
    <t xml:space="preserve">Noida, Uttar Pradesh, India</t>
  </si>
  <si>
    <t xml:space="preserve">digital marketing agency for ecommerce in noida</t>
  </si>
  <si>
    <t xml:space="preserve">d2c marketing agency in noida</t>
  </si>
  <si>
    <t xml:space="preserve">facebook ads agency in noida</t>
  </si>
  <si>
    <t xml:space="preserve">meta ads agency in noida</t>
  </si>
  <si>
    <t xml:space="preserve">google ads agency in noida</t>
  </si>
  <si>
    <t xml:space="preserve">amazon marketing agency in noida</t>
  </si>
  <si>
    <t xml:space="preserve">shopify developer in noida</t>
  </si>
  <si>
    <t xml:space="preserve">shopify development company in noida</t>
  </si>
  <si>
    <t xml:space="preserve">seo agency in noida</t>
  </si>
  <si>
    <t xml:space="preserve">social media marketing agency in noida</t>
  </si>
  <si>
    <t xml:space="preserve">influencer marketing agency in noida</t>
  </si>
  <si>
    <t xml:space="preserve">branding agency in noida</t>
  </si>
  <si>
    <t xml:space="preserve">packaging design agency in noida</t>
  </si>
  <si>
    <t xml:space="preserve">ugc agency in noida</t>
  </si>
  <si>
    <t xml:space="preserve">b2b lead generation agency in noida</t>
  </si>
  <si>
    <t xml:space="preserve">b2b digital marketing agency in noida</t>
  </si>
  <si>
    <t xml:space="preserve">education marketing agency in noida</t>
  </si>
  <si>
    <t xml:space="preserve">performance marketing agency in bangalore</t>
  </si>
  <si>
    <t xml:space="preserve">Bengaluru, Karnataka, India</t>
  </si>
  <si>
    <t xml:space="preserve">performance marketing agency in bengaluru</t>
  </si>
  <si>
    <t xml:space="preserve">digital marketing agency for ecommerce in bangalore</t>
  </si>
  <si>
    <t xml:space="preserve">digital marketing agency for ecommerce in bengaluru</t>
  </si>
  <si>
    <t xml:space="preserve">d2c marketing agency in bangalore</t>
  </si>
  <si>
    <t xml:space="preserve">d2c marketing agency in bengaluru</t>
  </si>
  <si>
    <t xml:space="preserve">facebook ads agency in bangalore</t>
  </si>
  <si>
    <t xml:space="preserve">facebook ads agency in bengaluru</t>
  </si>
  <si>
    <t xml:space="preserve">meta ads agency in bangalore</t>
  </si>
  <si>
    <t xml:space="preserve">meta ads agency in bengaluru</t>
  </si>
  <si>
    <t xml:space="preserve">google ads agency in bangalore</t>
  </si>
  <si>
    <t xml:space="preserve">google ads agency in bengaluru</t>
  </si>
  <si>
    <t xml:space="preserve">amazon marketing agency in bangalore</t>
  </si>
  <si>
    <t xml:space="preserve">amazon marketing agency in bengaluru</t>
  </si>
  <si>
    <t xml:space="preserve">shopify developer in bangalore</t>
  </si>
  <si>
    <t xml:space="preserve">shopify developer in bengaluru</t>
  </si>
  <si>
    <t xml:space="preserve">shopify development company in bangalore</t>
  </si>
  <si>
    <t xml:space="preserve">shopify development company in bengaluru</t>
  </si>
  <si>
    <t xml:space="preserve">seo agency in bangalore</t>
  </si>
  <si>
    <t xml:space="preserve">seo agency in bengaluru</t>
  </si>
  <si>
    <t xml:space="preserve">social media marketing agency in bangalore</t>
  </si>
  <si>
    <t xml:space="preserve">social media marketing agency in bengaluru</t>
  </si>
  <si>
    <t xml:space="preserve">influencer marketing agency in bangalore</t>
  </si>
  <si>
    <t xml:space="preserve">influencer marketing agency in bengaluru</t>
  </si>
  <si>
    <t xml:space="preserve">branding agency in bangalore</t>
  </si>
  <si>
    <t xml:space="preserve">branding agency in bengaluru</t>
  </si>
  <si>
    <t xml:space="preserve">packaging design agency in bangalore</t>
  </si>
  <si>
    <t xml:space="preserve">packaging design agency in bengaluru</t>
  </si>
  <si>
    <t xml:space="preserve">ugc agency in bangalore</t>
  </si>
  <si>
    <t xml:space="preserve">ugc agency in bengaluru</t>
  </si>
  <si>
    <t xml:space="preserve">b2b lead generation agency in bangalore</t>
  </si>
  <si>
    <t xml:space="preserve">b2b lead generation agency in bengaluru</t>
  </si>
  <si>
    <t xml:space="preserve">b2b digital marketing agency in bangalore</t>
  </si>
  <si>
    <t xml:space="preserve">b2b digital marketing agency in bengaluru</t>
  </si>
  <si>
    <t xml:space="preserve">education marketing agency in bangalore</t>
  </si>
  <si>
    <t xml:space="preserve">education marketing agency in bengaluru</t>
  </si>
  <si>
    <t xml:space="preserve">performance marketing agency in hyderabad</t>
  </si>
  <si>
    <t xml:space="preserve">Hyderabad, Telangana, India</t>
  </si>
  <si>
    <t xml:space="preserve">digital marketing agency for ecommerce in hyderabad</t>
  </si>
  <si>
    <t xml:space="preserve">d2c marketing agency in hyderabad</t>
  </si>
  <si>
    <t xml:space="preserve">facebook ads agency in hyderabad</t>
  </si>
  <si>
    <t xml:space="preserve">meta ads agency in hyderabad</t>
  </si>
  <si>
    <t xml:space="preserve">google ads agency in hyderabad</t>
  </si>
  <si>
    <t xml:space="preserve">amazon marketing agency in hyderabad</t>
  </si>
  <si>
    <t xml:space="preserve">shopify developer in hyderabad</t>
  </si>
  <si>
    <t xml:space="preserve">shopify development company in hyderabad</t>
  </si>
  <si>
    <t xml:space="preserve">seo agency in hyderabad</t>
  </si>
  <si>
    <t xml:space="preserve">social media marketing agency in hyderabad</t>
  </si>
  <si>
    <t xml:space="preserve">influencer marketing agency in hyderabad</t>
  </si>
  <si>
    <t xml:space="preserve">branding agency in hyderabad</t>
  </si>
  <si>
    <t xml:space="preserve">packaging design agency in hyderabad</t>
  </si>
  <si>
    <t xml:space="preserve">ugc agency in hyderabad</t>
  </si>
  <si>
    <t xml:space="preserve">b2b lead generation agency in hyderabad</t>
  </si>
  <si>
    <t xml:space="preserve">b2b digital marketing agency in hyderabad</t>
  </si>
  <si>
    <t xml:space="preserve">education marketing agency in hyderabad</t>
  </si>
  <si>
    <t xml:space="preserve">performance marketing agency in pune</t>
  </si>
  <si>
    <t xml:space="preserve">Pune, Maharashtra, India</t>
  </si>
  <si>
    <t xml:space="preserve">digital marketing agency for ecommerce in pune</t>
  </si>
  <si>
    <t xml:space="preserve">d2c marketing agency in pune</t>
  </si>
  <si>
    <t xml:space="preserve">facebook ads agency in pune</t>
  </si>
  <si>
    <t xml:space="preserve">meta ads agency in pune</t>
  </si>
  <si>
    <t xml:space="preserve">google ads agency in pune</t>
  </si>
  <si>
    <t xml:space="preserve">amazon marketing agency in pune</t>
  </si>
  <si>
    <t xml:space="preserve">shopify developer in pune</t>
  </si>
  <si>
    <t xml:space="preserve">shopify development company in pune</t>
  </si>
  <si>
    <t xml:space="preserve">seo agency in pune</t>
  </si>
  <si>
    <t xml:space="preserve">social media marketing agency in pune</t>
  </si>
  <si>
    <t xml:space="preserve">influencer marketing agency in pune</t>
  </si>
  <si>
    <t xml:space="preserve">branding agency in pune</t>
  </si>
  <si>
    <t xml:space="preserve">packaging design agency in pune</t>
  </si>
  <si>
    <t xml:space="preserve">ugc agency in pune</t>
  </si>
  <si>
    <t xml:space="preserve">b2b lead generation agency in pune</t>
  </si>
  <si>
    <t xml:space="preserve">b2b digital marketing agency in pune</t>
  </si>
  <si>
    <t xml:space="preserve">education marketing agency in pune</t>
  </si>
  <si>
    <t xml:space="preserve">performance marketing agency in chennai</t>
  </si>
  <si>
    <t xml:space="preserve">Chennai, Tamil Nadu, India</t>
  </si>
  <si>
    <t xml:space="preserve">digital marketing agency for ecommerce in chennai</t>
  </si>
  <si>
    <t xml:space="preserve">d2c marketing agency in chennai</t>
  </si>
  <si>
    <t xml:space="preserve">facebook ads agency in chennai</t>
  </si>
  <si>
    <t xml:space="preserve">meta ads agency in chennai</t>
  </si>
  <si>
    <t xml:space="preserve">google ads agency in chennai</t>
  </si>
  <si>
    <t xml:space="preserve">amazon marketing agency in chennai</t>
  </si>
  <si>
    <t xml:space="preserve">shopify developer in chennai</t>
  </si>
  <si>
    <t xml:space="preserve">shopify development company in chennai</t>
  </si>
  <si>
    <t xml:space="preserve">seo agency in chennai</t>
  </si>
  <si>
    <t xml:space="preserve">social media marketing agency in chennai</t>
  </si>
  <si>
    <t xml:space="preserve">influencer marketing agency in chennai</t>
  </si>
  <si>
    <t xml:space="preserve">branding agency in chennai</t>
  </si>
  <si>
    <t xml:space="preserve">packaging design agency in chennai</t>
  </si>
  <si>
    <t xml:space="preserve">ugc agency in chennai</t>
  </si>
  <si>
    <t xml:space="preserve">b2b lead generation agency in chennai</t>
  </si>
  <si>
    <t xml:space="preserve">b2b digital marketing agency in chennai</t>
  </si>
  <si>
    <t xml:space="preserve">education marketing agency in chennai</t>
  </si>
  <si>
    <t xml:space="preserve">performance marketing agency in indore</t>
  </si>
  <si>
    <t xml:space="preserve">Indore, Madhya Pradesh, India</t>
  </si>
  <si>
    <t xml:space="preserve">digital marketing agency for ecommerce in indore</t>
  </si>
  <si>
    <t xml:space="preserve">d2c marketing agency in indore</t>
  </si>
  <si>
    <t xml:space="preserve">facebook ads agency in indore</t>
  </si>
  <si>
    <t xml:space="preserve">meta ads agency in indore</t>
  </si>
  <si>
    <t xml:space="preserve">google ads agency in indore</t>
  </si>
  <si>
    <t xml:space="preserve">amazon marketing agency in indore</t>
  </si>
  <si>
    <t xml:space="preserve">shopify developer in indore</t>
  </si>
  <si>
    <t xml:space="preserve">shopify development company in indore</t>
  </si>
  <si>
    <t xml:space="preserve">seo agency in indore</t>
  </si>
  <si>
    <t xml:space="preserve">social media marketing agency in indore</t>
  </si>
  <si>
    <t xml:space="preserve">influencer marketing agency in indore</t>
  </si>
  <si>
    <t xml:space="preserve">branding agency in indore</t>
  </si>
  <si>
    <t xml:space="preserve">packaging design agency in indore</t>
  </si>
  <si>
    <t xml:space="preserve">ugc agency in indore</t>
  </si>
  <si>
    <t xml:space="preserve">b2b lead generation agency in indore</t>
  </si>
  <si>
    <t xml:space="preserve">b2b digital marketing agency in indore</t>
  </si>
  <si>
    <t xml:space="preserve">education marketing agency in indore</t>
  </si>
  <si>
    <t xml:space="preserve">performance marketing agency in ahmedabad</t>
  </si>
  <si>
    <t xml:space="preserve">Ahmedabad, Gujarat, India</t>
  </si>
  <si>
    <t xml:space="preserve">digital marketing agency for ecommerce in ahmedabad</t>
  </si>
  <si>
    <t xml:space="preserve">d2c marketing agency in ahmedabad</t>
  </si>
  <si>
    <t xml:space="preserve">facebook ads agency in ahmedabad</t>
  </si>
  <si>
    <t xml:space="preserve">meta ads agency in ahmedabad</t>
  </si>
  <si>
    <t xml:space="preserve">google ads agency in ahmedabad</t>
  </si>
  <si>
    <t xml:space="preserve">amazon marketing agency in ahmedabad</t>
  </si>
  <si>
    <t xml:space="preserve">shopify developer in ahmedabad</t>
  </si>
  <si>
    <t xml:space="preserve">shopify development company in ahmedabad</t>
  </si>
  <si>
    <t xml:space="preserve">seo agency in ahmedabad</t>
  </si>
  <si>
    <t xml:space="preserve">social media marketing agency in ahmedabad</t>
  </si>
  <si>
    <t xml:space="preserve">influencer marketing agency in ahmedabad</t>
  </si>
  <si>
    <t xml:space="preserve">branding agency in ahmedabad</t>
  </si>
  <si>
    <t xml:space="preserve">packaging design agency in ahmedabad</t>
  </si>
  <si>
    <t xml:space="preserve">ugc agency in ahmedabad</t>
  </si>
  <si>
    <t xml:space="preserve">b2b lead generation agency in ahmedabad</t>
  </si>
  <si>
    <t xml:space="preserve">b2b digital marketing agency in ahmedabad</t>
  </si>
  <si>
    <t xml:space="preserve">education marketing agency in ahmedabad</t>
  </si>
  <si>
    <t xml:space="preserve">performance marketing agency in jaipur</t>
  </si>
  <si>
    <t xml:space="preserve">Jaipur, Rajasthan, India</t>
  </si>
  <si>
    <t xml:space="preserve">digital marketing agency for ecommerce in jaipur</t>
  </si>
  <si>
    <t xml:space="preserve">d2c marketing agency in jaipur</t>
  </si>
  <si>
    <t xml:space="preserve">facebook ads agency in jaipur</t>
  </si>
  <si>
    <t xml:space="preserve">meta ads agency in jaipur</t>
  </si>
  <si>
    <t xml:space="preserve">google ads agency in jaipur</t>
  </si>
  <si>
    <t xml:space="preserve">amazon marketing agency in jaipur</t>
  </si>
  <si>
    <t xml:space="preserve">shopify developer in jaipur</t>
  </si>
  <si>
    <t xml:space="preserve">shopify development company in jaipur</t>
  </si>
  <si>
    <t xml:space="preserve">seo agency in jaipur</t>
  </si>
  <si>
    <t xml:space="preserve">social media marketing agency in jaipur</t>
  </si>
  <si>
    <t xml:space="preserve">influencer marketing agency in jaipur</t>
  </si>
  <si>
    <t xml:space="preserve">branding agency in jaipur</t>
  </si>
  <si>
    <t xml:space="preserve">packaging design agency in jaipur</t>
  </si>
  <si>
    <t xml:space="preserve">ugc agency in jaipur</t>
  </si>
  <si>
    <t xml:space="preserve">b2b lead generation agency in jaipur</t>
  </si>
  <si>
    <t xml:space="preserve">b2b digital marketing agency in jaipur</t>
  </si>
  <si>
    <t xml:space="preserve">education marketing agency in jaipur</t>
  </si>
  <si>
    <t xml:space="preserve">performance marketing agency in kolkata</t>
  </si>
  <si>
    <t xml:space="preserve">Kolkata, West Bengal, India</t>
  </si>
  <si>
    <t xml:space="preserve">digital marketing agency for ecommerce in kolkata</t>
  </si>
  <si>
    <t xml:space="preserve">d2c marketing agency in kolkata</t>
  </si>
  <si>
    <t xml:space="preserve">facebook ads agency in kolkata</t>
  </si>
  <si>
    <t xml:space="preserve">meta ads agency in kolkata</t>
  </si>
  <si>
    <t xml:space="preserve">google ads agency in kolkata</t>
  </si>
  <si>
    <t xml:space="preserve">amazon marketing agency in kolkata</t>
  </si>
  <si>
    <t xml:space="preserve">shopify developer in kolkata</t>
  </si>
  <si>
    <t xml:space="preserve">shopify development company in kolkata</t>
  </si>
  <si>
    <t xml:space="preserve">seo agency in kolkata</t>
  </si>
  <si>
    <t xml:space="preserve">social media marketing agency in kolkata</t>
  </si>
  <si>
    <t xml:space="preserve">influencer marketing agency in kolkata</t>
  </si>
  <si>
    <t xml:space="preserve">branding agency in kolkata</t>
  </si>
  <si>
    <t xml:space="preserve">packaging design agency in kolkata</t>
  </si>
  <si>
    <t xml:space="preserve">ugc agency in kolkata</t>
  </si>
  <si>
    <t xml:space="preserve">b2b lead generation agency in kolkata</t>
  </si>
  <si>
    <t xml:space="preserve">b2b digital marketing agency in kolkata</t>
  </si>
  <si>
    <t xml:space="preserve">education marketing agency in kolkata</t>
  </si>
  <si>
    <t xml:space="preserve">performance marketing agency in navi mumbai</t>
  </si>
  <si>
    <t xml:space="preserve">Navi Mumbai, Maharashtra, India</t>
  </si>
  <si>
    <t xml:space="preserve">digital marketing agency for ecommerce in navi mumbai</t>
  </si>
  <si>
    <t xml:space="preserve">d2c marketing agency in navi mumbai</t>
  </si>
  <si>
    <t xml:space="preserve">facebook ads agency in navi mumbai</t>
  </si>
  <si>
    <t xml:space="preserve">meta ads agency in navi mumbai</t>
  </si>
  <si>
    <t xml:space="preserve">google ads agency in navi mumbai</t>
  </si>
  <si>
    <t xml:space="preserve">amazon marketing agency in navi mumbai</t>
  </si>
  <si>
    <t xml:space="preserve">shopify developer in navi mumbai</t>
  </si>
  <si>
    <t xml:space="preserve">shopify development company in navi mumbai</t>
  </si>
  <si>
    <t xml:space="preserve">seo agency in navi mumbai</t>
  </si>
  <si>
    <t xml:space="preserve">social media marketing agency in navi mumbai</t>
  </si>
  <si>
    <t xml:space="preserve">influencer marketing agency in navi mumbai</t>
  </si>
  <si>
    <t xml:space="preserve">branding agency in navi mumbai</t>
  </si>
  <si>
    <t xml:space="preserve">packaging design agency in navi mumbai</t>
  </si>
  <si>
    <t xml:space="preserve">ugc agency in navi mumbai</t>
  </si>
  <si>
    <t xml:space="preserve">b2b lead generation agency in navi mumbai</t>
  </si>
  <si>
    <t xml:space="preserve">b2b digital marketing agency in navi mumbai</t>
  </si>
  <si>
    <t xml:space="preserve">education marketing agency in navi mumbai</t>
  </si>
  <si>
    <t xml:space="preserve">performance marketing agency in surat</t>
  </si>
  <si>
    <t xml:space="preserve">Surat, Gujarat, India</t>
  </si>
  <si>
    <t xml:space="preserve">digital marketing agency for ecommerce in surat</t>
  </si>
  <si>
    <t xml:space="preserve">d2c marketing agency in surat</t>
  </si>
  <si>
    <t xml:space="preserve">facebook ads agency in surat</t>
  </si>
  <si>
    <t xml:space="preserve">meta ads agency in surat</t>
  </si>
  <si>
    <t xml:space="preserve">google ads agency in surat</t>
  </si>
  <si>
    <t xml:space="preserve">amazon marketing agency in surat</t>
  </si>
  <si>
    <t xml:space="preserve">shopify developer in surat</t>
  </si>
  <si>
    <t xml:space="preserve">shopify development company in surat</t>
  </si>
  <si>
    <t xml:space="preserve">seo agency in surat</t>
  </si>
  <si>
    <t xml:space="preserve">social media marketing agency in surat</t>
  </si>
  <si>
    <t xml:space="preserve">influencer marketing agency in surat</t>
  </si>
  <si>
    <t xml:space="preserve">branding agency in surat</t>
  </si>
  <si>
    <t xml:space="preserve">packaging design agency in surat</t>
  </si>
  <si>
    <t xml:space="preserve">ugc agency in surat</t>
  </si>
  <si>
    <t xml:space="preserve">b2b lead generation agency in surat</t>
  </si>
  <si>
    <t xml:space="preserve">b2b digital marketing agency in surat</t>
  </si>
  <si>
    <t xml:space="preserve">education marketing agency in surat</t>
  </si>
  <si>
    <t xml:space="preserve">performance marketing agency india</t>
  </si>
  <si>
    <t xml:space="preserve">India (national)</t>
  </si>
  <si>
    <t xml:space="preserve">Hub</t>
  </si>
  <si>
    <t xml:space="preserve">performance marketing agency for d2c brands</t>
  </si>
  <si>
    <t xml:space="preserve">Service + segment</t>
  </si>
  <si>
    <t xml:space="preserve">d2c marketing agency india</t>
  </si>
  <si>
    <t xml:space="preserve">ecommerce marketing agency india</t>
  </si>
  <si>
    <t xml:space="preserve">d2c growth agency</t>
  </si>
  <si>
    <t xml:space="preserve">best performance marketing agency in india</t>
  </si>
  <si>
    <t xml:space="preserve">Comparison</t>
  </si>
  <si>
    <t xml:space="preserve">Investigation</t>
  </si>
  <si>
    <t xml:space="preserve">Consideration</t>
  </si>
  <si>
    <t xml:space="preserve">Comparison / listicle</t>
  </si>
  <si>
    <t xml:space="preserve">top d2c marketing agencies in india</t>
  </si>
  <si>
    <t xml:space="preserve">performance marketing agency cost india</t>
  </si>
  <si>
    <t xml:space="preserve">Pricing</t>
  </si>
  <si>
    <t xml:space="preserve">Pricing guide</t>
  </si>
  <si>
    <t xml:space="preserve">performance marketing retainer fees</t>
  </si>
  <si>
    <t xml:space="preserve">how to scale d2c brand</t>
  </si>
  <si>
    <t xml:space="preserve">Problem</t>
  </si>
  <si>
    <t xml:space="preserve">Informational</t>
  </si>
  <si>
    <t xml:space="preserve">Awareness</t>
  </si>
  <si>
    <t xml:space="preserve">Guide</t>
  </si>
  <si>
    <t xml:space="preserve">roas dropping meta ads</t>
  </si>
  <si>
    <t xml:space="preserve">how to reduce cac d2c</t>
  </si>
  <si>
    <t xml:space="preserve">d2c brand marketing strategy</t>
  </si>
  <si>
    <t xml:space="preserve">in house vs agency performance marketing</t>
  </si>
  <si>
    <t xml:space="preserve">Comparison guide</t>
  </si>
  <si>
    <t xml:space="preserve">facebook ads agency india</t>
  </si>
  <si>
    <t xml:space="preserve">meta ads agency india</t>
  </si>
  <si>
    <t xml:space="preserve">facebook ads agency for ecommerce</t>
  </si>
  <si>
    <t xml:space="preserve">facebook ads management cost india</t>
  </si>
  <si>
    <t xml:space="preserve">meta ads not converting</t>
  </si>
  <si>
    <t xml:space="preserve">facebook ads creative fatigue</t>
  </si>
  <si>
    <t xml:space="preserve">meta advantage plus shopping campaigns</t>
  </si>
  <si>
    <t xml:space="preserve">Platform</t>
  </si>
  <si>
    <t xml:space="preserve">google ads agency india</t>
  </si>
  <si>
    <t xml:space="preserve">google shopping ads agency</t>
  </si>
  <si>
    <t xml:space="preserve">performance max agency</t>
  </si>
  <si>
    <t xml:space="preserve">google ads for shopify store</t>
  </si>
  <si>
    <t xml:space="preserve">google ads management charges india</t>
  </si>
  <si>
    <t xml:space="preserve">amazon ads agency india</t>
  </si>
  <si>
    <t xml:space="preserve">amazon ppc agency india</t>
  </si>
  <si>
    <t xml:space="preserve">amazon marketing agency</t>
  </si>
  <si>
    <t xml:space="preserve">amazon account management services india</t>
  </si>
  <si>
    <t xml:space="preserve">how to reduce acos amazon</t>
  </si>
  <si>
    <t xml:space="preserve">amazon ppc agency cost</t>
  </si>
  <si>
    <t xml:space="preserve">flipkart ads agency</t>
  </si>
  <si>
    <t xml:space="preserve">Amazon Ads spoke (marketplace section)</t>
  </si>
  <si>
    <t xml:space="preserve">quick commerce agency</t>
  </si>
  <si>
    <t xml:space="preserve">Quick commerce ads</t>
  </si>
  <si>
    <t xml:space="preserve">Q-com spoke</t>
  </si>
  <si>
    <t xml:space="preserve">quick commerce marketing agency india</t>
  </si>
  <si>
    <t xml:space="preserve">blinkit ads</t>
  </si>
  <si>
    <t xml:space="preserve">blinkit ads agency</t>
  </si>
  <si>
    <t xml:space="preserve">zepto ads</t>
  </si>
  <si>
    <t xml:space="preserve">zepto ads agency</t>
  </si>
  <si>
    <t xml:space="preserve">instamart ads</t>
  </si>
  <si>
    <t xml:space="preserve">how to sell on blinkit</t>
  </si>
  <si>
    <t xml:space="preserve">how to sell on zepto</t>
  </si>
  <si>
    <t xml:space="preserve">how to list product on instamart</t>
  </si>
  <si>
    <t xml:space="preserve">blinkit seller registration</t>
  </si>
  <si>
    <t xml:space="preserve">blinkit vs zepto vs instamart for brands</t>
  </si>
  <si>
    <t xml:space="preserve">shopify development agency india</t>
  </si>
  <si>
    <t xml:space="preserve">shopify experts india</t>
  </si>
  <si>
    <t xml:space="preserve">shopify plus agency india</t>
  </si>
  <si>
    <t xml:space="preserve">shopify store development cost india</t>
  </si>
  <si>
    <t xml:space="preserve">shopify website design company</t>
  </si>
  <si>
    <t xml:space="preserve">woocommerce to shopify migration</t>
  </si>
  <si>
    <t xml:space="preserve">Implementation</t>
  </si>
  <si>
    <t xml:space="preserve">Shopify page (migration section)</t>
  </si>
  <si>
    <t xml:space="preserve">cro agency india</t>
  </si>
  <si>
    <t xml:space="preserve">CRO</t>
  </si>
  <si>
    <t xml:space="preserve">CRO page</t>
  </si>
  <si>
    <t xml:space="preserve">conversion rate optimisation agency</t>
  </si>
  <si>
    <t xml:space="preserve">conversion rate optimization agency</t>
  </si>
  <si>
    <t xml:space="preserve">shopify conversion rate optimization</t>
  </si>
  <si>
    <t xml:space="preserve">low conversion rate shopify</t>
  </si>
  <si>
    <t xml:space="preserve">cro audit</t>
  </si>
  <si>
    <t xml:space="preserve">retention marketing agency</t>
  </si>
  <si>
    <t xml:space="preserve">Retention marketing</t>
  </si>
  <si>
    <t xml:space="preserve">Retention page</t>
  </si>
  <si>
    <t xml:space="preserve">klaviyo agency india</t>
  </si>
  <si>
    <t xml:space="preserve">whatsapp marketing for d2c brands</t>
  </si>
  <si>
    <t xml:space="preserve">email marketing agency for ecommerce</t>
  </si>
  <si>
    <t xml:space="preserve">how to increase repeat purchase rate</t>
  </si>
  <si>
    <t xml:space="preserve">ugc ads agency india</t>
  </si>
  <si>
    <t xml:space="preserve">ugc creators india</t>
  </si>
  <si>
    <t xml:space="preserve">ad creative agency</t>
  </si>
  <si>
    <t xml:space="preserve">performance creative agency</t>
  </si>
  <si>
    <t xml:space="preserve">product video shoot for ecommerce</t>
  </si>
  <si>
    <t xml:space="preserve">ecommerce seo agency india</t>
  </si>
  <si>
    <t xml:space="preserve">shopify seo agency</t>
  </si>
  <si>
    <t xml:space="preserve">generative engine optimization agency</t>
  </si>
  <si>
    <t xml:space="preserve">SEO page (GEO section)</t>
  </si>
  <si>
    <t xml:space="preserve">geo agency india</t>
  </si>
  <si>
    <t xml:space="preserve">how to rank in chatgpt</t>
  </si>
  <si>
    <t xml:space="preserve">ai search optimization</t>
  </si>
  <si>
    <t xml:space="preserve">influencer marketing agency india</t>
  </si>
  <si>
    <t xml:space="preserve">influencer marketing for d2c brands</t>
  </si>
  <si>
    <t xml:space="preserve">d2c branding agency</t>
  </si>
  <si>
    <t xml:space="preserve">packaging design agency india</t>
  </si>
  <si>
    <t xml:space="preserve">how to launch a d2c brand in india</t>
  </si>
  <si>
    <t xml:space="preserve">performance marketing for fashion brands</t>
  </si>
  <si>
    <t xml:space="preserve">Industry: Fashion</t>
  </si>
  <si>
    <t xml:space="preserve">Service + industry</t>
  </si>
  <si>
    <t xml:space="preserve">Fashion industry page</t>
  </si>
  <si>
    <t xml:space="preserve">fashion marketing agency</t>
  </si>
  <si>
    <t xml:space="preserve">clothing brand marketing agency</t>
  </si>
  <si>
    <t xml:space="preserve">fashion ecommerce marketing agency</t>
  </si>
  <si>
    <t xml:space="preserve">shopify development for fashion brands</t>
  </si>
  <si>
    <t xml:space="preserve">kids brand marketing agency</t>
  </si>
  <si>
    <t xml:space="preserve">Industry: Kids &amp; baby</t>
  </si>
  <si>
    <t xml:space="preserve">Kids &amp; baby industry page</t>
  </si>
  <si>
    <t xml:space="preserve">kidswear marketing agency</t>
  </si>
  <si>
    <t xml:space="preserve">baby brand marketing agency</t>
  </si>
  <si>
    <t xml:space="preserve">digital marketing for baby products</t>
  </si>
  <si>
    <t xml:space="preserve">performance marketing for kids brands</t>
  </si>
  <si>
    <t xml:space="preserve">footwear brand marketing agency</t>
  </si>
  <si>
    <t xml:space="preserve">Industry: Footwear</t>
  </si>
  <si>
    <t xml:space="preserve">beauty marketing agency</t>
  </si>
  <si>
    <t xml:space="preserve">Industry: Beauty</t>
  </si>
  <si>
    <t xml:space="preserve">Beauty industry page</t>
  </si>
  <si>
    <t xml:space="preserve">skincare marketing agency</t>
  </si>
  <si>
    <t xml:space="preserve">performance marketing for beauty brands</t>
  </si>
  <si>
    <t xml:space="preserve">cosmetics digital marketing agency</t>
  </si>
  <si>
    <t xml:space="preserve">jewellery marketing agency</t>
  </si>
  <si>
    <t xml:space="preserve">Industry: Jewellery</t>
  </si>
  <si>
    <t xml:space="preserve">Industry page (later)</t>
  </si>
  <si>
    <t xml:space="preserve">food brand marketing agency</t>
  </si>
  <si>
    <t xml:space="preserve">Industry: Food &amp; FMCG</t>
  </si>
  <si>
    <t xml:space="preserve">fmcg digital marketing agency</t>
  </si>
  <si>
    <t xml:space="preserve">b2b lead generation agency</t>
  </si>
  <si>
    <t xml:space="preserve">b2b lead generation services</t>
  </si>
  <si>
    <t xml:space="preserve">b2b digital marketing agency</t>
  </si>
  <si>
    <t xml:space="preserve">b2b inbound marketing agency</t>
  </si>
  <si>
    <t xml:space="preserve">b2b lead generation through google ads</t>
  </si>
  <si>
    <t xml:space="preserve">digital marketing for manufacturers</t>
  </si>
  <si>
    <t xml:space="preserve">Manufacturing industry page</t>
  </si>
  <si>
    <t xml:space="preserve">manufacturing marketing agency</t>
  </si>
  <si>
    <t xml:space="preserve">industrial marketing agency</t>
  </si>
  <si>
    <t xml:space="preserve">lead generation for manufacturing companies</t>
  </si>
  <si>
    <t xml:space="preserve">b2b seo agency</t>
  </si>
  <si>
    <t xml:space="preserve">SEO page (B2B section)</t>
  </si>
  <si>
    <t xml:space="preserve">how to generate leads for manufacturing business</t>
  </si>
  <si>
    <t xml:space="preserve">how to improve b2b lead quality</t>
  </si>
  <si>
    <t xml:space="preserve">how to measure cost per qualified lead</t>
  </si>
  <si>
    <t xml:space="preserve">mql vs sql</t>
  </si>
  <si>
    <t xml:space="preserve">saas marketing agency</t>
  </si>
  <si>
    <t xml:space="preserve">Not built (no proof)</t>
  </si>
  <si>
    <t xml:space="preserve">education marketing agency</t>
  </si>
  <si>
    <t xml:space="preserve">digital marketing for educational institutions</t>
  </si>
  <si>
    <t xml:space="preserve">admissions marketing agency</t>
  </si>
  <si>
    <t xml:space="preserve">student enrollment marketing agency</t>
  </si>
  <si>
    <t xml:space="preserve">education lead generation services</t>
  </si>
  <si>
    <t xml:space="preserve">digital marketing for colleges</t>
  </si>
  <si>
    <t xml:space="preserve">higher education marketing agency</t>
  </si>
  <si>
    <t xml:space="preserve">digital marketing for schools</t>
  </si>
  <si>
    <t xml:space="preserve">school marketing agency</t>
  </si>
  <si>
    <t xml:space="preserve">digital marketing for coaching institutes</t>
  </si>
  <si>
    <t xml:space="preserve">how to increase school admissions</t>
  </si>
  <si>
    <t xml:space="preserve">how to generate leads for college admissions</t>
  </si>
  <si>
    <t xml:space="preserve">how to improve admission enquiry conversion</t>
  </si>
  <si>
    <t xml:space="preserve">meta ads audit</t>
  </si>
  <si>
    <t xml:space="preserve">Audits</t>
  </si>
  <si>
    <t xml:space="preserve">Transactional</t>
  </si>
  <si>
    <t xml:space="preserve">Audit page</t>
  </si>
  <si>
    <t xml:space="preserve">facebook ads audit service</t>
  </si>
  <si>
    <t xml:space="preserve">google ads audit service</t>
  </si>
  <si>
    <t xml:space="preserve">ecommerce marketing audit</t>
  </si>
  <si>
    <t xml:space="preserve">shopify cro audit</t>
  </si>
  <si>
    <t xml:space="preserve">shopify store audit</t>
  </si>
  <si>
    <t xml:space="preserve">b2b marketing audit</t>
  </si>
  <si>
    <t xml:space="preserve">meta ads high roas but low profit</t>
  </si>
  <si>
    <t xml:space="preserve">how to calculate break even roas</t>
  </si>
  <si>
    <t xml:space="preserve">Guide (calculator)</t>
  </si>
  <si>
    <t xml:space="preserve">break even roas calculator</t>
  </si>
  <si>
    <t xml:space="preserve">mer vs roas</t>
  </si>
  <si>
    <t xml:space="preserve">how to scale meta ads without increasing cpa</t>
  </si>
  <si>
    <t xml:space="preserve">shopify traffic but no sales</t>
  </si>
  <si>
    <t xml:space="preserve">how to improve shopify conversion rate</t>
  </si>
  <si>
    <t xml:space="preserve">high add to cart low purchases</t>
  </si>
  <si>
    <t xml:space="preserve">shopify checkout abandonment</t>
  </si>
  <si>
    <t xml:space="preserve">shopify cro agency</t>
  </si>
  <si>
    <t xml:space="preserve">ecommerce cro agency</t>
  </si>
  <si>
    <t xml:space="preserve">shopify store redesign agency</t>
  </si>
  <si>
    <t xml:space="preserve">shopify marketing agency</t>
  </si>
  <si>
    <t xml:space="preserve">whatsapp marketing agency</t>
  </si>
  <si>
    <t xml:space="preserve">whatsapp abandoned cart recovery</t>
  </si>
  <si>
    <t xml:space="preserve">whatsapp automation services</t>
  </si>
  <si>
    <t xml:space="preserve">lifecycle marketing agency</t>
  </si>
  <si>
    <t xml:space="preserve">email vs whatsapp marketing for ecommerce</t>
  </si>
  <si>
    <t xml:space="preserve">how to calculate customer lifetime value ecommerce</t>
  </si>
  <si>
    <t xml:space="preserve">abandoned cart recovery strategy</t>
  </si>
  <si>
    <t xml:space="preserve">seo agency pricing india</t>
  </si>
  <si>
    <t xml:space="preserve">how to choose a d2c marketing agency</t>
  </si>
  <si>
    <t xml:space="preserve">Buying guide</t>
  </si>
  <si>
    <t xml:space="preserve">answer engine optimization services</t>
  </si>
  <si>
    <t xml:space="preserve">aeo agency</t>
  </si>
  <si>
    <t xml:space="preserve">seo vs aeo vs geo</t>
  </si>
  <si>
    <t xml:space="preserve">how to appear in google ai overviews</t>
  </si>
  <si>
    <t xml:space="preserve">how to get a business mentioned in chatgpt</t>
  </si>
  <si>
    <t xml:space="preserve">marketplace management agency</t>
  </si>
  <si>
    <t xml:space="preserve">quick commerce account management</t>
  </si>
  <si>
    <t xml:space="preserve">monday marketing company</t>
  </si>
  <si>
    <t xml:space="preserve">Branded</t>
  </si>
  <si>
    <t xml:space="preserve">Navigational</t>
  </si>
  <si>
    <t xml:space="preserve">Home</t>
  </si>
  <si>
    <t xml:space="preserve">monday marketing company reviews</t>
  </si>
  <si>
    <t xml:space="preserve">Reviews / work page</t>
  </si>
  <si>
    <t xml:space="preserve">monday marketing company portfolio</t>
  </si>
  <si>
    <t xml:space="preserve">Work page</t>
  </si>
  <si>
    <t xml:space="preserve">monday marketing company contact</t>
  </si>
  <si>
    <t xml:space="preserve">Contact</t>
  </si>
  <si>
    <t xml:space="preserve">monday marketing company thane</t>
  </si>
  <si>
    <t xml:space="preserve">performance marketing agency in coimbatore</t>
  </si>
  <si>
    <t xml:space="preserve">Coimbatore, Tamil Nadu, India</t>
  </si>
  <si>
    <t xml:space="preserve">Tier-2 backlog city</t>
  </si>
  <si>
    <t xml:space="preserve">d2c marketing agency in coimbatore</t>
  </si>
  <si>
    <t xml:space="preserve">shopify developer in coimbatore</t>
  </si>
  <si>
    <t xml:space="preserve">b2b lead generation agency in coimbatore</t>
  </si>
  <si>
    <t xml:space="preserve">performance marketing agency in ludhiana</t>
  </si>
  <si>
    <t xml:space="preserve">Ludhiana, Punjab, India</t>
  </si>
  <si>
    <t xml:space="preserve">d2c marketing agency in ludhiana</t>
  </si>
  <si>
    <t xml:space="preserve">shopify developer in ludhiana</t>
  </si>
  <si>
    <t xml:space="preserve">b2b lead generation agency in ludhiana</t>
  </si>
  <si>
    <t xml:space="preserve">performance marketing agency in rajkot</t>
  </si>
  <si>
    <t xml:space="preserve">Rajkot, Gujarat, India</t>
  </si>
  <si>
    <t xml:space="preserve">d2c marketing agency in rajkot</t>
  </si>
  <si>
    <t xml:space="preserve">shopify developer in rajkot</t>
  </si>
  <si>
    <t xml:space="preserve">b2b lead generation agency in rajkot</t>
  </si>
  <si>
    <t xml:space="preserve">performance marketing agency in vadodara</t>
  </si>
  <si>
    <t xml:space="preserve">Vadodara, Gujarat, India</t>
  </si>
  <si>
    <t xml:space="preserve">d2c marketing agency in vadodara</t>
  </si>
  <si>
    <t xml:space="preserve">shopify developer in vadodara</t>
  </si>
  <si>
    <t xml:space="preserve">b2b lead generation agency in vadodara</t>
  </si>
  <si>
    <t xml:space="preserve">performance marketing agency in tiruppur</t>
  </si>
  <si>
    <t xml:space="preserve">Tiruppur, Tamil Nadu, India</t>
  </si>
  <si>
    <t xml:space="preserve">d2c marketing agency in tiruppur</t>
  </si>
  <si>
    <t xml:space="preserve">shopify developer in tiruppur</t>
  </si>
  <si>
    <t xml:space="preserve">b2b lead generation agency in tiruppur</t>
  </si>
  <si>
    <t xml:space="preserve">performance marketing agency in chandigarh</t>
  </si>
  <si>
    <t xml:space="preserve">Chandigarh, India</t>
  </si>
  <si>
    <t xml:space="preserve">d2c marketing agency in chandigarh</t>
  </si>
  <si>
    <t xml:space="preserve">shopify developer in chandigarh</t>
  </si>
  <si>
    <t xml:space="preserve">b2b lead generation agency in chandigarh</t>
  </si>
  <si>
    <t xml:space="preserve">performance marketing agency in kochi</t>
  </si>
  <si>
    <t xml:space="preserve">Kochi, Kerala, India</t>
  </si>
  <si>
    <t xml:space="preserve">d2c marketing agency in kochi</t>
  </si>
  <si>
    <t xml:space="preserve">shopify developer in kochi</t>
  </si>
  <si>
    <t xml:space="preserve">b2b lead generation agency in kochi</t>
  </si>
  <si>
    <t xml:space="preserve">performance marketing agency in nagpur</t>
  </si>
  <si>
    <t xml:space="preserve">Nagpur, Maharashtra, India</t>
  </si>
  <si>
    <t xml:space="preserve">d2c marketing agency in nagpur</t>
  </si>
  <si>
    <t xml:space="preserve">shopify developer in nagpur</t>
  </si>
  <si>
    <t xml:space="preserve">b2b lead generation agency in nagpur</t>
  </si>
  <si>
    <t xml:space="preserve">performance marketing agency in lucknow</t>
  </si>
  <si>
    <t xml:space="preserve">Lucknow, Uttar Pradesh, India</t>
  </si>
  <si>
    <t xml:space="preserve">d2c marketing agency in lucknow</t>
  </si>
  <si>
    <t xml:space="preserve">shopify developer in lucknow</t>
  </si>
  <si>
    <t xml:space="preserve">b2b lead generation agency in lucknow</t>
  </si>
  <si>
    <t xml:space="preserve">performance marketing agency in bhopal</t>
  </si>
  <si>
    <t xml:space="preserve">Bhopal, Madhya Pradesh, India</t>
  </si>
  <si>
    <t xml:space="preserve">d2c marketing agency in bhopal</t>
  </si>
  <si>
    <t xml:space="preserve">shopify developer in bhopal</t>
  </si>
  <si>
    <t xml:space="preserve">b2b lead generation agency in bhopal</t>
  </si>
  <si>
    <t xml:space="preserve">performance marketing agency in nashik</t>
  </si>
  <si>
    <t xml:space="preserve">Nashik, Maharashtra, India</t>
  </si>
  <si>
    <t xml:space="preserve">d2c marketing agency in nashik</t>
  </si>
  <si>
    <t xml:space="preserve">shopify developer in nashik</t>
  </si>
  <si>
    <t xml:space="preserve">b2b lead generation agency in nashik</t>
  </si>
  <si>
    <t xml:space="preserve">performance marketing agency dubai</t>
  </si>
  <si>
    <t xml:space="preserve">UAE</t>
  </si>
  <si>
    <t xml:space="preserve">Dubai, United Arab Emirates</t>
  </si>
  <si>
    <t xml:space="preserve">UAE growth page</t>
  </si>
  <si>
    <t xml:space="preserve">performance marketing agency in dubai</t>
  </si>
  <si>
    <t xml:space="preserve">Phrasing variant: same page</t>
  </si>
  <si>
    <t xml:space="preserve">performance marketing company dubai</t>
  </si>
  <si>
    <t xml:space="preserve">performance marketing company in dubai</t>
  </si>
  <si>
    <t xml:space="preserve">ecommerce marketing agency dubai</t>
  </si>
  <si>
    <t xml:space="preserve">ecommerce marketing agency in dubai</t>
  </si>
  <si>
    <t xml:space="preserve">d2c marketing agency dubai</t>
  </si>
  <si>
    <t xml:space="preserve">d2c marketing agency in dubai</t>
  </si>
  <si>
    <t xml:space="preserve">digital marketing agency for ecommerce dubai</t>
  </si>
  <si>
    <t xml:space="preserve">digital marketing agency for ecommerce in dubai</t>
  </si>
  <si>
    <t xml:space="preserve">meta ads agency dubai</t>
  </si>
  <si>
    <t xml:space="preserve">meta ads agency in dubai</t>
  </si>
  <si>
    <t xml:space="preserve">facebook ads agency dubai</t>
  </si>
  <si>
    <t xml:space="preserve">facebook ads agency in dubai</t>
  </si>
  <si>
    <t xml:space="preserve">instagram ads agency dubai</t>
  </si>
  <si>
    <t xml:space="preserve">instagram ads agency in dubai</t>
  </si>
  <si>
    <t xml:space="preserve">snapchat ads agency dubai</t>
  </si>
  <si>
    <t xml:space="preserve">snapchat ads agency in dubai</t>
  </si>
  <si>
    <t xml:space="preserve">tiktok ads agency dubai</t>
  </si>
  <si>
    <t xml:space="preserve">tiktok ads agency in dubai</t>
  </si>
  <si>
    <t xml:space="preserve">google ads agency dubai</t>
  </si>
  <si>
    <t xml:space="preserve">google ads agency in dubai</t>
  </si>
  <si>
    <t xml:space="preserve">ppc agency dubai</t>
  </si>
  <si>
    <t xml:space="preserve">ppc agency in dubai</t>
  </si>
  <si>
    <t xml:space="preserve">amazon ads agency dubai</t>
  </si>
  <si>
    <t xml:space="preserve">amazon ads agency in dubai</t>
  </si>
  <si>
    <t xml:space="preserve">noon ads agency dubai</t>
  </si>
  <si>
    <t xml:space="preserve">noon ads agency in dubai</t>
  </si>
  <si>
    <t xml:space="preserve">shopify agency dubai</t>
  </si>
  <si>
    <t xml:space="preserve">shopify agency in dubai</t>
  </si>
  <si>
    <t xml:space="preserve">shopify developer dubai</t>
  </si>
  <si>
    <t xml:space="preserve">shopify developer in dubai</t>
  </si>
  <si>
    <t xml:space="preserve">shopify experts dubai</t>
  </si>
  <si>
    <t xml:space="preserve">shopify experts in dubai</t>
  </si>
  <si>
    <t xml:space="preserve">cro agency dubai</t>
  </si>
  <si>
    <t xml:space="preserve">cro agency in dubai</t>
  </si>
  <si>
    <t xml:space="preserve">email marketing agency dubai</t>
  </si>
  <si>
    <t xml:space="preserve">email marketing agency in dubai</t>
  </si>
  <si>
    <t xml:space="preserve">whatsapp marketing agency dubai</t>
  </si>
  <si>
    <t xml:space="preserve">whatsapp marketing agency in dubai</t>
  </si>
  <si>
    <t xml:space="preserve">ugc agency dubai</t>
  </si>
  <si>
    <t xml:space="preserve">ugc agency in dubai</t>
  </si>
  <si>
    <t xml:space="preserve">ugc creators dubai</t>
  </si>
  <si>
    <t xml:space="preserve">ugc creators in dubai</t>
  </si>
  <si>
    <t xml:space="preserve">social media agency dubai</t>
  </si>
  <si>
    <t xml:space="preserve">social media agency in dubai</t>
  </si>
  <si>
    <t xml:space="preserve">influencer marketing agency dubai</t>
  </si>
  <si>
    <t xml:space="preserve">influencer marketing agency in dubai</t>
  </si>
  <si>
    <t xml:space="preserve">ecommerce seo agency dubai</t>
  </si>
  <si>
    <t xml:space="preserve">ecommerce seo agency in dubai</t>
  </si>
  <si>
    <t xml:space="preserve">branding agency dubai</t>
  </si>
  <si>
    <t xml:space="preserve">branding agency in dubai</t>
  </si>
  <si>
    <t xml:space="preserve">performance marketing agency abu dhabi</t>
  </si>
  <si>
    <t xml:space="preserve">Abu Dhabi, United Arab Emirates</t>
  </si>
  <si>
    <t xml:space="preserve">performance marketing company abu dhabi</t>
  </si>
  <si>
    <t xml:space="preserve">ecommerce marketing agency abu dhabi</t>
  </si>
  <si>
    <t xml:space="preserve">d2c marketing agency abu dhabi</t>
  </si>
  <si>
    <t xml:space="preserve">digital marketing agency for ecommerce abu dhabi</t>
  </si>
  <si>
    <t xml:space="preserve">meta ads agency abu dhabi</t>
  </si>
  <si>
    <t xml:space="preserve">facebook ads agency abu dhabi</t>
  </si>
  <si>
    <t xml:space="preserve">instagram ads agency abu dhabi</t>
  </si>
  <si>
    <t xml:space="preserve">snapchat ads agency abu dhabi</t>
  </si>
  <si>
    <t xml:space="preserve">tiktok ads agency abu dhabi</t>
  </si>
  <si>
    <t xml:space="preserve">google ads agency abu dhabi</t>
  </si>
  <si>
    <t xml:space="preserve">ppc agency abu dhabi</t>
  </si>
  <si>
    <t xml:space="preserve">amazon ads agency abu dhabi</t>
  </si>
  <si>
    <t xml:space="preserve">noon ads agency abu dhabi</t>
  </si>
  <si>
    <t xml:space="preserve">shopify agency abu dhabi</t>
  </si>
  <si>
    <t xml:space="preserve">shopify developer abu dhabi</t>
  </si>
  <si>
    <t xml:space="preserve">shopify experts abu dhabi</t>
  </si>
  <si>
    <t xml:space="preserve">cro agency abu dhabi</t>
  </si>
  <si>
    <t xml:space="preserve">email marketing agency abu dhabi</t>
  </si>
  <si>
    <t xml:space="preserve">whatsapp marketing agency abu dhabi</t>
  </si>
  <si>
    <t xml:space="preserve">ugc agency abu dhabi</t>
  </si>
  <si>
    <t xml:space="preserve">ugc creators abu dhabi</t>
  </si>
  <si>
    <t xml:space="preserve">social media agency abu dhabi</t>
  </si>
  <si>
    <t xml:space="preserve">influencer marketing agency abu dhabi</t>
  </si>
  <si>
    <t xml:space="preserve">ecommerce seo agency abu dhabi</t>
  </si>
  <si>
    <t xml:space="preserve">branding agency abu dhabi</t>
  </si>
  <si>
    <t xml:space="preserve">performance marketing agency sharjah</t>
  </si>
  <si>
    <t xml:space="preserve">Sharjah, United Arab Emirates</t>
  </si>
  <si>
    <t xml:space="preserve">performance marketing company sharjah</t>
  </si>
  <si>
    <t xml:space="preserve">ecommerce marketing agency sharjah</t>
  </si>
  <si>
    <t xml:space="preserve">d2c marketing agency sharjah</t>
  </si>
  <si>
    <t xml:space="preserve">digital marketing agency for ecommerce sharjah</t>
  </si>
  <si>
    <t xml:space="preserve">meta ads agency sharjah</t>
  </si>
  <si>
    <t xml:space="preserve">facebook ads agency sharjah</t>
  </si>
  <si>
    <t xml:space="preserve">instagram ads agency sharjah</t>
  </si>
  <si>
    <t xml:space="preserve">snapchat ads agency sharjah</t>
  </si>
  <si>
    <t xml:space="preserve">tiktok ads agency sharjah</t>
  </si>
  <si>
    <t xml:space="preserve">google ads agency sharjah</t>
  </si>
  <si>
    <t xml:space="preserve">ppc agency sharjah</t>
  </si>
  <si>
    <t xml:space="preserve">amazon ads agency sharjah</t>
  </si>
  <si>
    <t xml:space="preserve">noon ads agency sharjah</t>
  </si>
  <si>
    <t xml:space="preserve">shopify agency sharjah</t>
  </si>
  <si>
    <t xml:space="preserve">shopify developer sharjah</t>
  </si>
  <si>
    <t xml:space="preserve">shopify experts sharjah</t>
  </si>
  <si>
    <t xml:space="preserve">cro agency sharjah</t>
  </si>
  <si>
    <t xml:space="preserve">email marketing agency sharjah</t>
  </si>
  <si>
    <t xml:space="preserve">whatsapp marketing agency sharjah</t>
  </si>
  <si>
    <t xml:space="preserve">ugc agency sharjah</t>
  </si>
  <si>
    <t xml:space="preserve">ugc creators sharjah</t>
  </si>
  <si>
    <t xml:space="preserve">social media agency sharjah</t>
  </si>
  <si>
    <t xml:space="preserve">influencer marketing agency sharjah</t>
  </si>
  <si>
    <t xml:space="preserve">ecommerce seo agency sharjah</t>
  </si>
  <si>
    <t xml:space="preserve">branding agency sharjah</t>
  </si>
  <si>
    <t xml:space="preserve">performance marketing agency uae</t>
  </si>
  <si>
    <t xml:space="preserve">Service + country</t>
  </si>
  <si>
    <t xml:space="preserve">United Arab Emirates</t>
  </si>
  <si>
    <t xml:space="preserve">performance marketing company uae</t>
  </si>
  <si>
    <t xml:space="preserve">ecommerce marketing agency uae</t>
  </si>
  <si>
    <t xml:space="preserve">d2c marketing agency uae</t>
  </si>
  <si>
    <t xml:space="preserve">digital marketing agency for ecommerce uae</t>
  </si>
  <si>
    <t xml:space="preserve">meta ads agency uae</t>
  </si>
  <si>
    <t xml:space="preserve">facebook ads agency uae</t>
  </si>
  <si>
    <t xml:space="preserve">instagram ads agency uae</t>
  </si>
  <si>
    <t xml:space="preserve">snapchat ads agency uae</t>
  </si>
  <si>
    <t xml:space="preserve">tiktok ads agency uae</t>
  </si>
  <si>
    <t xml:space="preserve">google ads agency uae</t>
  </si>
  <si>
    <t xml:space="preserve">ppc agency uae</t>
  </si>
  <si>
    <t xml:space="preserve">amazon ads agency uae</t>
  </si>
  <si>
    <t xml:space="preserve">noon ads agency uae</t>
  </si>
  <si>
    <t xml:space="preserve">shopify agency uae</t>
  </si>
  <si>
    <t xml:space="preserve">shopify developer uae</t>
  </si>
  <si>
    <t xml:space="preserve">shopify experts uae</t>
  </si>
  <si>
    <t xml:space="preserve">cro agency uae</t>
  </si>
  <si>
    <t xml:space="preserve">email marketing agency uae</t>
  </si>
  <si>
    <t xml:space="preserve">whatsapp marketing agency uae</t>
  </si>
  <si>
    <t xml:space="preserve">ugc agency uae</t>
  </si>
  <si>
    <t xml:space="preserve">ugc creators uae</t>
  </si>
  <si>
    <t xml:space="preserve">social media agency uae</t>
  </si>
  <si>
    <t xml:space="preserve">influencer marketing agency uae</t>
  </si>
  <si>
    <t xml:space="preserve">ecommerce seo agency uae</t>
  </si>
  <si>
    <t xml:space="preserve">branding agency uae</t>
  </si>
  <si>
    <t xml:space="preserve">ecommerce marketing agency nyc</t>
  </si>
  <si>
    <t xml:space="preserve">United States</t>
  </si>
  <si>
    <t xml:space="preserve">New York, New York, United States</t>
  </si>
  <si>
    <t xml:space="preserve">Not built (direct). Monitor only</t>
  </si>
  <si>
    <t xml:space="preserve">dtc marketing agency nyc</t>
  </si>
  <si>
    <t xml:space="preserve">ecommerce growth agency nyc</t>
  </si>
  <si>
    <t xml:space="preserve">paid social agency nyc</t>
  </si>
  <si>
    <t xml:space="preserve">facebook ads agency nyc</t>
  </si>
  <si>
    <t xml:space="preserve">meta ads agency nyc</t>
  </si>
  <si>
    <t xml:space="preserve">tiktok ads agency nyc</t>
  </si>
  <si>
    <t xml:space="preserve">ppc agency nyc</t>
  </si>
  <si>
    <t xml:space="preserve">google ads agency nyc</t>
  </si>
  <si>
    <t xml:space="preserve">google shopping agency nyc</t>
  </si>
  <si>
    <t xml:space="preserve">amazon ppc agency nyc</t>
  </si>
  <si>
    <t xml:space="preserve">amazon marketing agency nyc</t>
  </si>
  <si>
    <t xml:space="preserve">shopify agency nyc</t>
  </si>
  <si>
    <t xml:space="preserve">shopify plus agency nyc</t>
  </si>
  <si>
    <t xml:space="preserve">shopify developer nyc</t>
  </si>
  <si>
    <t xml:space="preserve">klaviyo agency nyc</t>
  </si>
  <si>
    <t xml:space="preserve">email marketing agency for ecommerce nyc</t>
  </si>
  <si>
    <t xml:space="preserve">sms marketing agency nyc</t>
  </si>
  <si>
    <t xml:space="preserve">cro agency nyc</t>
  </si>
  <si>
    <t xml:space="preserve">conversion rate optimization agency nyc</t>
  </si>
  <si>
    <t xml:space="preserve">ugc agency nyc</t>
  </si>
  <si>
    <t xml:space="preserve">creative agency for ecommerce nyc</t>
  </si>
  <si>
    <t xml:space="preserve">ecommerce seo agency nyc</t>
  </si>
  <si>
    <t xml:space="preserve">influencer marketing agency nyc</t>
  </si>
  <si>
    <t xml:space="preserve">branding agency for dtc brands nyc</t>
  </si>
  <si>
    <t xml:space="preserve">ecommerce marketing agency los angeles</t>
  </si>
  <si>
    <t xml:space="preserve">Los Angeles, California, United States</t>
  </si>
  <si>
    <t xml:space="preserve">dtc marketing agency los angeles</t>
  </si>
  <si>
    <t xml:space="preserve">ecommerce growth agency los angeles</t>
  </si>
  <si>
    <t xml:space="preserve">paid social agency los angeles</t>
  </si>
  <si>
    <t xml:space="preserve">facebook ads agency los angeles</t>
  </si>
  <si>
    <t xml:space="preserve">meta ads agency los angeles</t>
  </si>
  <si>
    <t xml:space="preserve">tiktok ads agency los angeles</t>
  </si>
  <si>
    <t xml:space="preserve">ppc agency los angeles</t>
  </si>
  <si>
    <t xml:space="preserve">google ads agency los angeles</t>
  </si>
  <si>
    <t xml:space="preserve">google shopping agency los angeles</t>
  </si>
  <si>
    <t xml:space="preserve">amazon ppc agency los angeles</t>
  </si>
  <si>
    <t xml:space="preserve">amazon marketing agency los angeles</t>
  </si>
  <si>
    <t xml:space="preserve">shopify agency los angeles</t>
  </si>
  <si>
    <t xml:space="preserve">shopify plus agency los angeles</t>
  </si>
  <si>
    <t xml:space="preserve">shopify developer los angeles</t>
  </si>
  <si>
    <t xml:space="preserve">klaviyo agency los angeles</t>
  </si>
  <si>
    <t xml:space="preserve">email marketing agency for ecommerce los angeles</t>
  </si>
  <si>
    <t xml:space="preserve">sms marketing agency los angeles</t>
  </si>
  <si>
    <t xml:space="preserve">cro agency los angeles</t>
  </si>
  <si>
    <t xml:space="preserve">conversion rate optimization agency los angeles</t>
  </si>
  <si>
    <t xml:space="preserve">ugc agency los angeles</t>
  </si>
  <si>
    <t xml:space="preserve">creative agency for ecommerce los angeles</t>
  </si>
  <si>
    <t xml:space="preserve">ecommerce seo agency los angeles</t>
  </si>
  <si>
    <t xml:space="preserve">influencer marketing agency los angeles</t>
  </si>
  <si>
    <t xml:space="preserve">branding agency for dtc brands los angeles</t>
  </si>
  <si>
    <t xml:space="preserve">ecommerce marketing agency san francisco</t>
  </si>
  <si>
    <t xml:space="preserve">San Francisco-Oakland-San Jose CA (DMA), United States</t>
  </si>
  <si>
    <t xml:space="preserve">dtc marketing agency san francisco</t>
  </si>
  <si>
    <t xml:space="preserve">ecommerce growth agency san francisco</t>
  </si>
  <si>
    <t xml:space="preserve">paid social agency san francisco</t>
  </si>
  <si>
    <t xml:space="preserve">facebook ads agency san francisco</t>
  </si>
  <si>
    <t xml:space="preserve">meta ads agency san francisco</t>
  </si>
  <si>
    <t xml:space="preserve">tiktok ads agency san francisco</t>
  </si>
  <si>
    <t xml:space="preserve">ppc agency san francisco</t>
  </si>
  <si>
    <t xml:space="preserve">google ads agency san francisco</t>
  </si>
  <si>
    <t xml:space="preserve">google shopping agency san francisco</t>
  </si>
  <si>
    <t xml:space="preserve">amazon ppc agency san francisco</t>
  </si>
  <si>
    <t xml:space="preserve">amazon marketing agency san francisco</t>
  </si>
  <si>
    <t xml:space="preserve">shopify agency san francisco</t>
  </si>
  <si>
    <t xml:space="preserve">shopify plus agency san francisco</t>
  </si>
  <si>
    <t xml:space="preserve">shopify developer san francisco</t>
  </si>
  <si>
    <t xml:space="preserve">klaviyo agency san francisco</t>
  </si>
  <si>
    <t xml:space="preserve">email marketing agency for ecommerce san francisco</t>
  </si>
  <si>
    <t xml:space="preserve">sms marketing agency san francisco</t>
  </si>
  <si>
    <t xml:space="preserve">cro agency san francisco</t>
  </si>
  <si>
    <t xml:space="preserve">conversion rate optimization agency san francisco</t>
  </si>
  <si>
    <t xml:space="preserve">ugc agency san francisco</t>
  </si>
  <si>
    <t xml:space="preserve">creative agency for ecommerce san francisco</t>
  </si>
  <si>
    <t xml:space="preserve">ecommerce seo agency san francisco</t>
  </si>
  <si>
    <t xml:space="preserve">influencer marketing agency san francisco</t>
  </si>
  <si>
    <t xml:space="preserve">branding agency for dtc brands san francisco</t>
  </si>
  <si>
    <t xml:space="preserve">ecommerce marketing agency austin</t>
  </si>
  <si>
    <t xml:space="preserve">Austin, Texas, United States</t>
  </si>
  <si>
    <t xml:space="preserve">dtc marketing agency austin</t>
  </si>
  <si>
    <t xml:space="preserve">ecommerce growth agency austin</t>
  </si>
  <si>
    <t xml:space="preserve">paid social agency austin</t>
  </si>
  <si>
    <t xml:space="preserve">facebook ads agency austin</t>
  </si>
  <si>
    <t xml:space="preserve">meta ads agency austin</t>
  </si>
  <si>
    <t xml:space="preserve">tiktok ads agency austin</t>
  </si>
  <si>
    <t xml:space="preserve">ppc agency austin</t>
  </si>
  <si>
    <t xml:space="preserve">google ads agency austin</t>
  </si>
  <si>
    <t xml:space="preserve">google shopping agency austin</t>
  </si>
  <si>
    <t xml:space="preserve">amazon ppc agency austin</t>
  </si>
  <si>
    <t xml:space="preserve">amazon marketing agency austin</t>
  </si>
  <si>
    <t xml:space="preserve">shopify agency austin</t>
  </si>
  <si>
    <t xml:space="preserve">shopify plus agency austin</t>
  </si>
  <si>
    <t xml:space="preserve">shopify developer austin</t>
  </si>
  <si>
    <t xml:space="preserve">klaviyo agency austin</t>
  </si>
  <si>
    <t xml:space="preserve">email marketing agency for ecommerce austin</t>
  </si>
  <si>
    <t xml:space="preserve">sms marketing agency austin</t>
  </si>
  <si>
    <t xml:space="preserve">cro agency austin</t>
  </si>
  <si>
    <t xml:space="preserve">conversion rate optimization agency austin</t>
  </si>
  <si>
    <t xml:space="preserve">ugc agency austin</t>
  </si>
  <si>
    <t xml:space="preserve">creative agency for ecommerce austin</t>
  </si>
  <si>
    <t xml:space="preserve">ecommerce seo agency austin</t>
  </si>
  <si>
    <t xml:space="preserve">influencer marketing agency austin</t>
  </si>
  <si>
    <t xml:space="preserve">branding agency for dtc brands austin</t>
  </si>
  <si>
    <t xml:space="preserve">ecommerce marketing agency miami</t>
  </si>
  <si>
    <t xml:space="preserve">Miami, Florida, United States</t>
  </si>
  <si>
    <t xml:space="preserve">dtc marketing agency miami</t>
  </si>
  <si>
    <t xml:space="preserve">ecommerce growth agency miami</t>
  </si>
  <si>
    <t xml:space="preserve">paid social agency miami</t>
  </si>
  <si>
    <t xml:space="preserve">facebook ads agency miami</t>
  </si>
  <si>
    <t xml:space="preserve">meta ads agency miami</t>
  </si>
  <si>
    <t xml:space="preserve">tiktok ads agency miami</t>
  </si>
  <si>
    <t xml:space="preserve">ppc agency miami</t>
  </si>
  <si>
    <t xml:space="preserve">google ads agency miami</t>
  </si>
  <si>
    <t xml:space="preserve">google shopping agency miami</t>
  </si>
  <si>
    <t xml:space="preserve">amazon ppc agency miami</t>
  </si>
  <si>
    <t xml:space="preserve">amazon marketing agency miami</t>
  </si>
  <si>
    <t xml:space="preserve">shopify agency miami</t>
  </si>
  <si>
    <t xml:space="preserve">shopify plus agency miami</t>
  </si>
  <si>
    <t xml:space="preserve">shopify developer miami</t>
  </si>
  <si>
    <t xml:space="preserve">klaviyo agency miami</t>
  </si>
  <si>
    <t xml:space="preserve">email marketing agency for ecommerce miami</t>
  </si>
  <si>
    <t xml:space="preserve">sms marketing agency miami</t>
  </si>
  <si>
    <t xml:space="preserve">cro agency miami</t>
  </si>
  <si>
    <t xml:space="preserve">conversion rate optimization agency miami</t>
  </si>
  <si>
    <t xml:space="preserve">ugc agency miami</t>
  </si>
  <si>
    <t xml:space="preserve">creative agency for ecommerce miami</t>
  </si>
  <si>
    <t xml:space="preserve">ecommerce seo agency miami</t>
  </si>
  <si>
    <t xml:space="preserve">influencer marketing agency miami</t>
  </si>
  <si>
    <t xml:space="preserve">branding agency for dtc brands miami</t>
  </si>
  <si>
    <t xml:space="preserve">ecommerce marketing agency dallas</t>
  </si>
  <si>
    <t xml:space="preserve">Dallas, Texas, United States</t>
  </si>
  <si>
    <t xml:space="preserve">dtc marketing agency dallas</t>
  </si>
  <si>
    <t xml:space="preserve">ecommerce growth agency dallas</t>
  </si>
  <si>
    <t xml:space="preserve">paid social agency dallas</t>
  </si>
  <si>
    <t xml:space="preserve">facebook ads agency dallas</t>
  </si>
  <si>
    <t xml:space="preserve">meta ads agency dallas</t>
  </si>
  <si>
    <t xml:space="preserve">tiktok ads agency dallas</t>
  </si>
  <si>
    <t xml:space="preserve">ppc agency dallas</t>
  </si>
  <si>
    <t xml:space="preserve">google ads agency dallas</t>
  </si>
  <si>
    <t xml:space="preserve">google shopping agency dallas</t>
  </si>
  <si>
    <t xml:space="preserve">amazon ppc agency dallas</t>
  </si>
  <si>
    <t xml:space="preserve">amazon marketing agency dallas</t>
  </si>
  <si>
    <t xml:space="preserve">shopify agency dallas</t>
  </si>
  <si>
    <t xml:space="preserve">shopify plus agency dallas</t>
  </si>
  <si>
    <t xml:space="preserve">shopify developer dallas</t>
  </si>
  <si>
    <t xml:space="preserve">klaviyo agency dallas</t>
  </si>
  <si>
    <t xml:space="preserve">email marketing agency for ecommerce dallas</t>
  </si>
  <si>
    <t xml:space="preserve">sms marketing agency dallas</t>
  </si>
  <si>
    <t xml:space="preserve">cro agency dallas</t>
  </si>
  <si>
    <t xml:space="preserve">conversion rate optimization agency dallas</t>
  </si>
  <si>
    <t xml:space="preserve">ugc agency dallas</t>
  </si>
  <si>
    <t xml:space="preserve">creative agency for ecommerce dallas</t>
  </si>
  <si>
    <t xml:space="preserve">ecommerce seo agency dallas</t>
  </si>
  <si>
    <t xml:space="preserve">influencer marketing agency dallas</t>
  </si>
  <si>
    <t xml:space="preserve">branding agency for dtc brands dallas</t>
  </si>
  <si>
    <t xml:space="preserve">ecommerce marketing agency houston</t>
  </si>
  <si>
    <t xml:space="preserve">Houston, Texas, United States</t>
  </si>
  <si>
    <t xml:space="preserve">dtc marketing agency houston</t>
  </si>
  <si>
    <t xml:space="preserve">ecommerce growth agency houston</t>
  </si>
  <si>
    <t xml:space="preserve">paid social agency houston</t>
  </si>
  <si>
    <t xml:space="preserve">facebook ads agency houston</t>
  </si>
  <si>
    <t xml:space="preserve">meta ads agency houston</t>
  </si>
  <si>
    <t xml:space="preserve">tiktok ads agency houston</t>
  </si>
  <si>
    <t xml:space="preserve">ppc agency houston</t>
  </si>
  <si>
    <t xml:space="preserve">google ads agency houston</t>
  </si>
  <si>
    <t xml:space="preserve">google shopping agency houston</t>
  </si>
  <si>
    <t xml:space="preserve">amazon ppc agency houston</t>
  </si>
  <si>
    <t xml:space="preserve">amazon marketing agency houston</t>
  </si>
  <si>
    <t xml:space="preserve">shopify agency houston</t>
  </si>
  <si>
    <t xml:space="preserve">shopify plus agency houston</t>
  </si>
  <si>
    <t xml:space="preserve">shopify developer houston</t>
  </si>
  <si>
    <t xml:space="preserve">klaviyo agency houston</t>
  </si>
  <si>
    <t xml:space="preserve">email marketing agency for ecommerce houston</t>
  </si>
  <si>
    <t xml:space="preserve">sms marketing agency houston</t>
  </si>
  <si>
    <t xml:space="preserve">cro agency houston</t>
  </si>
  <si>
    <t xml:space="preserve">conversion rate optimization agency houston</t>
  </si>
  <si>
    <t xml:space="preserve">ugc agency houston</t>
  </si>
  <si>
    <t xml:space="preserve">creative agency for ecommerce houston</t>
  </si>
  <si>
    <t xml:space="preserve">ecommerce seo agency houston</t>
  </si>
  <si>
    <t xml:space="preserve">influencer marketing agency houston</t>
  </si>
  <si>
    <t xml:space="preserve">branding agency for dtc brands houston</t>
  </si>
  <si>
    <t xml:space="preserve">ecommerce marketing agency chicago</t>
  </si>
  <si>
    <t xml:space="preserve">Chicago, Illinois, United States</t>
  </si>
  <si>
    <t xml:space="preserve">dtc marketing agency chicago</t>
  </si>
  <si>
    <t xml:space="preserve">ecommerce growth agency chicago</t>
  </si>
  <si>
    <t xml:space="preserve">paid social agency chicago</t>
  </si>
  <si>
    <t xml:space="preserve">facebook ads agency chicago</t>
  </si>
  <si>
    <t xml:space="preserve">meta ads agency chicago</t>
  </si>
  <si>
    <t xml:space="preserve">tiktok ads agency chicago</t>
  </si>
  <si>
    <t xml:space="preserve">ppc agency chicago</t>
  </si>
  <si>
    <t xml:space="preserve">google ads agency chicago</t>
  </si>
  <si>
    <t xml:space="preserve">google shopping agency chicago</t>
  </si>
  <si>
    <t xml:space="preserve">amazon ppc agency chicago</t>
  </si>
  <si>
    <t xml:space="preserve">amazon marketing agency chicago</t>
  </si>
  <si>
    <t xml:space="preserve">shopify agency chicago</t>
  </si>
  <si>
    <t xml:space="preserve">shopify plus agency chicago</t>
  </si>
  <si>
    <t xml:space="preserve">shopify developer chicago</t>
  </si>
  <si>
    <t xml:space="preserve">klaviyo agency chicago</t>
  </si>
  <si>
    <t xml:space="preserve">email marketing agency for ecommerce chicago</t>
  </si>
  <si>
    <t xml:space="preserve">sms marketing agency chicago</t>
  </si>
  <si>
    <t xml:space="preserve">cro agency chicago</t>
  </si>
  <si>
    <t xml:space="preserve">conversion rate optimization agency chicago</t>
  </si>
  <si>
    <t xml:space="preserve">ugc agency chicago</t>
  </si>
  <si>
    <t xml:space="preserve">creative agency for ecommerce chicago</t>
  </si>
  <si>
    <t xml:space="preserve">ecommerce seo agency chicago</t>
  </si>
  <si>
    <t xml:space="preserve">influencer marketing agency chicago</t>
  </si>
  <si>
    <t xml:space="preserve">branding agency for dtc brands chicago</t>
  </si>
  <si>
    <t xml:space="preserve">ecommerce marketing agency seattle</t>
  </si>
  <si>
    <t xml:space="preserve">Seattle, Washington, United States</t>
  </si>
  <si>
    <t xml:space="preserve">dtc marketing agency seattle</t>
  </si>
  <si>
    <t xml:space="preserve">ecommerce growth agency seattle</t>
  </si>
  <si>
    <t xml:space="preserve">paid social agency seattle</t>
  </si>
  <si>
    <t xml:space="preserve">facebook ads agency seattle</t>
  </si>
  <si>
    <t xml:space="preserve">meta ads agency seattle</t>
  </si>
  <si>
    <t xml:space="preserve">tiktok ads agency seattle</t>
  </si>
  <si>
    <t xml:space="preserve">ppc agency seattle</t>
  </si>
  <si>
    <t xml:space="preserve">google ads agency seattle</t>
  </si>
  <si>
    <t xml:space="preserve">google shopping agency seattle</t>
  </si>
  <si>
    <t xml:space="preserve">amazon ppc agency seattle</t>
  </si>
  <si>
    <t xml:space="preserve">amazon marketing agency seattle</t>
  </si>
  <si>
    <t xml:space="preserve">shopify agency seattle</t>
  </si>
  <si>
    <t xml:space="preserve">shopify plus agency seattle</t>
  </si>
  <si>
    <t xml:space="preserve">shopify developer seattle</t>
  </si>
  <si>
    <t xml:space="preserve">klaviyo agency seattle</t>
  </si>
  <si>
    <t xml:space="preserve">email marketing agency for ecommerce seattle</t>
  </si>
  <si>
    <t xml:space="preserve">sms marketing agency seattle</t>
  </si>
  <si>
    <t xml:space="preserve">cro agency seattle</t>
  </si>
  <si>
    <t xml:space="preserve">conversion rate optimization agency seattle</t>
  </si>
  <si>
    <t xml:space="preserve">ugc agency seattle</t>
  </si>
  <si>
    <t xml:space="preserve">creative agency for ecommerce seattle</t>
  </si>
  <si>
    <t xml:space="preserve">ecommerce seo agency seattle</t>
  </si>
  <si>
    <t xml:space="preserve">influencer marketing agency seattle</t>
  </si>
  <si>
    <t xml:space="preserve">branding agency for dtc brands seattle</t>
  </si>
  <si>
    <t xml:space="preserve">ecommerce marketing agency boston</t>
  </si>
  <si>
    <t xml:space="preserve">Boston, Massachusetts, United States</t>
  </si>
  <si>
    <t xml:space="preserve">dtc marketing agency boston</t>
  </si>
  <si>
    <t xml:space="preserve">ecommerce growth agency boston</t>
  </si>
  <si>
    <t xml:space="preserve">paid social agency boston</t>
  </si>
  <si>
    <t xml:space="preserve">facebook ads agency boston</t>
  </si>
  <si>
    <t xml:space="preserve">meta ads agency boston</t>
  </si>
  <si>
    <t xml:space="preserve">tiktok ads agency boston</t>
  </si>
  <si>
    <t xml:space="preserve">ppc agency boston</t>
  </si>
  <si>
    <t xml:space="preserve">google ads agency boston</t>
  </si>
  <si>
    <t xml:space="preserve">google shopping agency boston</t>
  </si>
  <si>
    <t xml:space="preserve">amazon ppc agency boston</t>
  </si>
  <si>
    <t xml:space="preserve">amazon marketing agency boston</t>
  </si>
  <si>
    <t xml:space="preserve">shopify agency boston</t>
  </si>
  <si>
    <t xml:space="preserve">shopify plus agency boston</t>
  </si>
  <si>
    <t xml:space="preserve">shopify developer boston</t>
  </si>
  <si>
    <t xml:space="preserve">klaviyo agency boston</t>
  </si>
  <si>
    <t xml:space="preserve">email marketing agency for ecommerce boston</t>
  </si>
  <si>
    <t xml:space="preserve">sms marketing agency boston</t>
  </si>
  <si>
    <t xml:space="preserve">cro agency boston</t>
  </si>
  <si>
    <t xml:space="preserve">conversion rate optimization agency boston</t>
  </si>
  <si>
    <t xml:space="preserve">ugc agency boston</t>
  </si>
  <si>
    <t xml:space="preserve">creative agency for ecommerce boston</t>
  </si>
  <si>
    <t xml:space="preserve">ecommerce seo agency boston</t>
  </si>
  <si>
    <t xml:space="preserve">influencer marketing agency boston</t>
  </si>
  <si>
    <t xml:space="preserve">branding agency for dtc brands boston</t>
  </si>
  <si>
    <t xml:space="preserve">ecommerce marketing agency denver</t>
  </si>
  <si>
    <t xml:space="preserve">Denver, Colorado, United States</t>
  </si>
  <si>
    <t xml:space="preserve">dtc marketing agency denver</t>
  </si>
  <si>
    <t xml:space="preserve">ecommerce growth agency denver</t>
  </si>
  <si>
    <t xml:space="preserve">paid social agency denver</t>
  </si>
  <si>
    <t xml:space="preserve">facebook ads agency denver</t>
  </si>
  <si>
    <t xml:space="preserve">meta ads agency denver</t>
  </si>
  <si>
    <t xml:space="preserve">tiktok ads agency denver</t>
  </si>
  <si>
    <t xml:space="preserve">ppc agency denver</t>
  </si>
  <si>
    <t xml:space="preserve">google ads agency denver</t>
  </si>
  <si>
    <t xml:space="preserve">google shopping agency denver</t>
  </si>
  <si>
    <t xml:space="preserve">amazon ppc agency denver</t>
  </si>
  <si>
    <t xml:space="preserve">amazon marketing agency denver</t>
  </si>
  <si>
    <t xml:space="preserve">shopify agency denver</t>
  </si>
  <si>
    <t xml:space="preserve">shopify plus agency denver</t>
  </si>
  <si>
    <t xml:space="preserve">shopify developer denver</t>
  </si>
  <si>
    <t xml:space="preserve">klaviyo agency denver</t>
  </si>
  <si>
    <t xml:space="preserve">email marketing agency for ecommerce denver</t>
  </si>
  <si>
    <t xml:space="preserve">sms marketing agency denver</t>
  </si>
  <si>
    <t xml:space="preserve">cro agency denver</t>
  </si>
  <si>
    <t xml:space="preserve">conversion rate optimization agency denver</t>
  </si>
  <si>
    <t xml:space="preserve">ugc agency denver</t>
  </si>
  <si>
    <t xml:space="preserve">creative agency for ecommerce denver</t>
  </si>
  <si>
    <t xml:space="preserve">ecommerce seo agency denver</t>
  </si>
  <si>
    <t xml:space="preserve">influencer marketing agency denver</t>
  </si>
  <si>
    <t xml:space="preserve">branding agency for dtc brands denver</t>
  </si>
  <si>
    <t xml:space="preserve">ecommerce marketing agency new jersey</t>
  </si>
  <si>
    <t xml:space="preserve">New Jersey, United States</t>
  </si>
  <si>
    <t xml:space="preserve">dtc marketing agency new jersey</t>
  </si>
  <si>
    <t xml:space="preserve">ecommerce growth agency new jersey</t>
  </si>
  <si>
    <t xml:space="preserve">paid social agency new jersey</t>
  </si>
  <si>
    <t xml:space="preserve">facebook ads agency new jersey</t>
  </si>
  <si>
    <t xml:space="preserve">meta ads agency new jersey</t>
  </si>
  <si>
    <t xml:space="preserve">tiktok ads agency new jersey</t>
  </si>
  <si>
    <t xml:space="preserve">ppc agency new jersey</t>
  </si>
  <si>
    <t xml:space="preserve">google ads agency new jersey</t>
  </si>
  <si>
    <t xml:space="preserve">google shopping agency new jersey</t>
  </si>
  <si>
    <t xml:space="preserve">amazon ppc agency new jersey</t>
  </si>
  <si>
    <t xml:space="preserve">amazon marketing agency new jersey</t>
  </si>
  <si>
    <t xml:space="preserve">shopify agency new jersey</t>
  </si>
  <si>
    <t xml:space="preserve">shopify plus agency new jersey</t>
  </si>
  <si>
    <t xml:space="preserve">shopify developer new jersey</t>
  </si>
  <si>
    <t xml:space="preserve">klaviyo agency new jersey</t>
  </si>
  <si>
    <t xml:space="preserve">email marketing agency for ecommerce new jersey</t>
  </si>
  <si>
    <t xml:space="preserve">sms marketing agency new jersey</t>
  </si>
  <si>
    <t xml:space="preserve">cro agency new jersey</t>
  </si>
  <si>
    <t xml:space="preserve">conversion rate optimization agency new jersey</t>
  </si>
  <si>
    <t xml:space="preserve">ugc agency new jersey</t>
  </si>
  <si>
    <t xml:space="preserve">creative agency for ecommerce new jersey</t>
  </si>
  <si>
    <t xml:space="preserve">ecommerce seo agency new jersey</t>
  </si>
  <si>
    <t xml:space="preserve">influencer marketing agency new jersey</t>
  </si>
  <si>
    <t xml:space="preserve">branding agency for dtc brands new jersey</t>
  </si>
  <si>
    <t xml:space="preserve">ecommerce marketing agency toronto</t>
  </si>
  <si>
    <t xml:space="preserve">Canada</t>
  </si>
  <si>
    <t xml:space="preserve">Toronto, Ontario, Canada</t>
  </si>
  <si>
    <t xml:space="preserve">dtc marketing agency toronto</t>
  </si>
  <si>
    <t xml:space="preserve">ecommerce growth agency toronto</t>
  </si>
  <si>
    <t xml:space="preserve">paid social agency toronto</t>
  </si>
  <si>
    <t xml:space="preserve">facebook ads agency toronto</t>
  </si>
  <si>
    <t xml:space="preserve">meta ads agency toronto</t>
  </si>
  <si>
    <t xml:space="preserve">tiktok ads agency toronto</t>
  </si>
  <si>
    <t xml:space="preserve">ppc agency toronto</t>
  </si>
  <si>
    <t xml:space="preserve">google ads agency toronto</t>
  </si>
  <si>
    <t xml:space="preserve">google shopping agency toronto</t>
  </si>
  <si>
    <t xml:space="preserve">amazon ppc agency toronto</t>
  </si>
  <si>
    <t xml:space="preserve">amazon marketing agency toronto</t>
  </si>
  <si>
    <t xml:space="preserve">shopify agency toronto</t>
  </si>
  <si>
    <t xml:space="preserve">shopify plus agency toronto</t>
  </si>
  <si>
    <t xml:space="preserve">shopify developer toronto</t>
  </si>
  <si>
    <t xml:space="preserve">klaviyo agency toronto</t>
  </si>
  <si>
    <t xml:space="preserve">email marketing agency for ecommerce toronto</t>
  </si>
  <si>
    <t xml:space="preserve">sms marketing agency toronto</t>
  </si>
  <si>
    <t xml:space="preserve">cro agency toronto</t>
  </si>
  <si>
    <t xml:space="preserve">conversion rate optimization agency toronto</t>
  </si>
  <si>
    <t xml:space="preserve">ugc agency toronto</t>
  </si>
  <si>
    <t xml:space="preserve">creative agency for ecommerce toronto</t>
  </si>
  <si>
    <t xml:space="preserve">ecommerce seo agency toronto</t>
  </si>
  <si>
    <t xml:space="preserve">influencer marketing agency toronto</t>
  </si>
  <si>
    <t xml:space="preserve">branding agency for dtc brands toronto</t>
  </si>
  <si>
    <t xml:space="preserve">ecommerce marketing agency mississauga</t>
  </si>
  <si>
    <t xml:space="preserve">Mississauga, Ontario, Canada</t>
  </si>
  <si>
    <t xml:space="preserve">dtc marketing agency mississauga</t>
  </si>
  <si>
    <t xml:space="preserve">ecommerce growth agency mississauga</t>
  </si>
  <si>
    <t xml:space="preserve">paid social agency mississauga</t>
  </si>
  <si>
    <t xml:space="preserve">facebook ads agency mississauga</t>
  </si>
  <si>
    <t xml:space="preserve">meta ads agency mississauga</t>
  </si>
  <si>
    <t xml:space="preserve">tiktok ads agency mississauga</t>
  </si>
  <si>
    <t xml:space="preserve">ppc agency mississauga</t>
  </si>
  <si>
    <t xml:space="preserve">google ads agency mississauga</t>
  </si>
  <si>
    <t xml:space="preserve">google shopping agency mississauga</t>
  </si>
  <si>
    <t xml:space="preserve">amazon ppc agency mississauga</t>
  </si>
  <si>
    <t xml:space="preserve">amazon marketing agency mississauga</t>
  </si>
  <si>
    <t xml:space="preserve">shopify agency mississauga</t>
  </si>
  <si>
    <t xml:space="preserve">shopify plus agency mississauga</t>
  </si>
  <si>
    <t xml:space="preserve">shopify developer mississauga</t>
  </si>
  <si>
    <t xml:space="preserve">klaviyo agency mississauga</t>
  </si>
  <si>
    <t xml:space="preserve">email marketing agency for ecommerce mississauga</t>
  </si>
  <si>
    <t xml:space="preserve">sms marketing agency mississauga</t>
  </si>
  <si>
    <t xml:space="preserve">cro agency mississauga</t>
  </si>
  <si>
    <t xml:space="preserve">conversion rate optimization agency mississauga</t>
  </si>
  <si>
    <t xml:space="preserve">ugc agency mississauga</t>
  </si>
  <si>
    <t xml:space="preserve">creative agency for ecommerce mississauga</t>
  </si>
  <si>
    <t xml:space="preserve">ecommerce seo agency mississauga</t>
  </si>
  <si>
    <t xml:space="preserve">influencer marketing agency mississauga</t>
  </si>
  <si>
    <t xml:space="preserve">branding agency for dtc brands mississauga</t>
  </si>
  <si>
    <t xml:space="preserve">ecommerce marketing agency brampton</t>
  </si>
  <si>
    <t xml:space="preserve">Brampton, Ontario, Canada</t>
  </si>
  <si>
    <t xml:space="preserve">dtc marketing agency brampton</t>
  </si>
  <si>
    <t xml:space="preserve">ecommerce growth agency brampton</t>
  </si>
  <si>
    <t xml:space="preserve">paid social agency brampton</t>
  </si>
  <si>
    <t xml:space="preserve">facebook ads agency brampton</t>
  </si>
  <si>
    <t xml:space="preserve">meta ads agency brampton</t>
  </si>
  <si>
    <t xml:space="preserve">tiktok ads agency brampton</t>
  </si>
  <si>
    <t xml:space="preserve">ppc agency brampton</t>
  </si>
  <si>
    <t xml:space="preserve">google ads agency brampton</t>
  </si>
  <si>
    <t xml:space="preserve">google shopping agency brampton</t>
  </si>
  <si>
    <t xml:space="preserve">amazon ppc agency brampton</t>
  </si>
  <si>
    <t xml:space="preserve">amazon marketing agency brampton</t>
  </si>
  <si>
    <t xml:space="preserve">shopify agency brampton</t>
  </si>
  <si>
    <t xml:space="preserve">shopify plus agency brampton</t>
  </si>
  <si>
    <t xml:space="preserve">shopify developer brampton</t>
  </si>
  <si>
    <t xml:space="preserve">klaviyo agency brampton</t>
  </si>
  <si>
    <t xml:space="preserve">email marketing agency for ecommerce brampton</t>
  </si>
  <si>
    <t xml:space="preserve">sms marketing agency brampton</t>
  </si>
  <si>
    <t xml:space="preserve">cro agency brampton</t>
  </si>
  <si>
    <t xml:space="preserve">conversion rate optimization agency brampton</t>
  </si>
  <si>
    <t xml:space="preserve">ugc agency brampton</t>
  </si>
  <si>
    <t xml:space="preserve">creative agency for ecommerce brampton</t>
  </si>
  <si>
    <t xml:space="preserve">ecommerce seo agency brampton</t>
  </si>
  <si>
    <t xml:space="preserve">influencer marketing agency brampton</t>
  </si>
  <si>
    <t xml:space="preserve">branding agency for dtc brands brampton</t>
  </si>
  <si>
    <t xml:space="preserve">ecommerce marketing agency vancouver</t>
  </si>
  <si>
    <t xml:space="preserve">Vancouver, British Columbia, Canada</t>
  </si>
  <si>
    <t xml:space="preserve">dtc marketing agency vancouver</t>
  </si>
  <si>
    <t xml:space="preserve">ecommerce growth agency vancouver</t>
  </si>
  <si>
    <t xml:space="preserve">paid social agency vancouver</t>
  </si>
  <si>
    <t xml:space="preserve">facebook ads agency vancouver</t>
  </si>
  <si>
    <t xml:space="preserve">meta ads agency vancouver</t>
  </si>
  <si>
    <t xml:space="preserve">tiktok ads agency vancouver</t>
  </si>
  <si>
    <t xml:space="preserve">ppc agency vancouver</t>
  </si>
  <si>
    <t xml:space="preserve">google ads agency vancouver</t>
  </si>
  <si>
    <t xml:space="preserve">google shopping agency vancouver</t>
  </si>
  <si>
    <t xml:space="preserve">amazon ppc agency vancouver</t>
  </si>
  <si>
    <t xml:space="preserve">amazon marketing agency vancouver</t>
  </si>
  <si>
    <t xml:space="preserve">shopify agency vancouver</t>
  </si>
  <si>
    <t xml:space="preserve">shopify plus agency vancouver</t>
  </si>
  <si>
    <t xml:space="preserve">shopify developer vancouver</t>
  </si>
  <si>
    <t xml:space="preserve">klaviyo agency vancouver</t>
  </si>
  <si>
    <t xml:space="preserve">email marketing agency for ecommerce vancouver</t>
  </si>
  <si>
    <t xml:space="preserve">sms marketing agency vancouver</t>
  </si>
  <si>
    <t xml:space="preserve">cro agency vancouver</t>
  </si>
  <si>
    <t xml:space="preserve">conversion rate optimization agency vancouver</t>
  </si>
  <si>
    <t xml:space="preserve">ugc agency vancouver</t>
  </si>
  <si>
    <t xml:space="preserve">creative agency for ecommerce vancouver</t>
  </si>
  <si>
    <t xml:space="preserve">ecommerce seo agency vancouver</t>
  </si>
  <si>
    <t xml:space="preserve">influencer marketing agency vancouver</t>
  </si>
  <si>
    <t xml:space="preserve">branding agency for dtc brands vancouver</t>
  </si>
  <si>
    <t xml:space="preserve">ecommerce marketing agency calgary</t>
  </si>
  <si>
    <t xml:space="preserve">Calgary, Alberta, Canada</t>
  </si>
  <si>
    <t xml:space="preserve">dtc marketing agency calgary</t>
  </si>
  <si>
    <t xml:space="preserve">ecommerce growth agency calgary</t>
  </si>
  <si>
    <t xml:space="preserve">paid social agency calgary</t>
  </si>
  <si>
    <t xml:space="preserve">facebook ads agency calgary</t>
  </si>
  <si>
    <t xml:space="preserve">meta ads agency calgary</t>
  </si>
  <si>
    <t xml:space="preserve">tiktok ads agency calgary</t>
  </si>
  <si>
    <t xml:space="preserve">ppc agency calgary</t>
  </si>
  <si>
    <t xml:space="preserve">google ads agency calgary</t>
  </si>
  <si>
    <t xml:space="preserve">google shopping agency calgary</t>
  </si>
  <si>
    <t xml:space="preserve">amazon ppc agency calgary</t>
  </si>
  <si>
    <t xml:space="preserve">amazon marketing agency calgary</t>
  </si>
  <si>
    <t xml:space="preserve">shopify agency calgary</t>
  </si>
  <si>
    <t xml:space="preserve">shopify plus agency calgary</t>
  </si>
  <si>
    <t xml:space="preserve">shopify developer calgary</t>
  </si>
  <si>
    <t xml:space="preserve">klaviyo agency calgary</t>
  </si>
  <si>
    <t xml:space="preserve">email marketing agency for ecommerce calgary</t>
  </si>
  <si>
    <t xml:space="preserve">sms marketing agency calgary</t>
  </si>
  <si>
    <t xml:space="preserve">cro agency calgary</t>
  </si>
  <si>
    <t xml:space="preserve">conversion rate optimization agency calgary</t>
  </si>
  <si>
    <t xml:space="preserve">ugc agency calgary</t>
  </si>
  <si>
    <t xml:space="preserve">creative agency for ecommerce calgary</t>
  </si>
  <si>
    <t xml:space="preserve">ecommerce seo agency calgary</t>
  </si>
  <si>
    <t xml:space="preserve">influencer marketing agency calgary</t>
  </si>
  <si>
    <t xml:space="preserve">branding agency for dtc brands calgary</t>
  </si>
  <si>
    <t xml:space="preserve">ecommerce marketing agency montreal</t>
  </si>
  <si>
    <t xml:space="preserve">Montreal, Quebec, Canada</t>
  </si>
  <si>
    <t xml:space="preserve">dtc marketing agency montreal</t>
  </si>
  <si>
    <t xml:space="preserve">ecommerce growth agency montreal</t>
  </si>
  <si>
    <t xml:space="preserve">paid social agency montreal</t>
  </si>
  <si>
    <t xml:space="preserve">facebook ads agency montreal</t>
  </si>
  <si>
    <t xml:space="preserve">meta ads agency montreal</t>
  </si>
  <si>
    <t xml:space="preserve">tiktok ads agency montreal</t>
  </si>
  <si>
    <t xml:space="preserve">ppc agency montreal</t>
  </si>
  <si>
    <t xml:space="preserve">google ads agency montreal</t>
  </si>
  <si>
    <t xml:space="preserve">google shopping agency montreal</t>
  </si>
  <si>
    <t xml:space="preserve">amazon ppc agency montreal</t>
  </si>
  <si>
    <t xml:space="preserve">amazon marketing agency montreal</t>
  </si>
  <si>
    <t xml:space="preserve">shopify agency montreal</t>
  </si>
  <si>
    <t xml:space="preserve">shopify plus agency montreal</t>
  </si>
  <si>
    <t xml:space="preserve">shopify developer montreal</t>
  </si>
  <si>
    <t xml:space="preserve">klaviyo agency montreal</t>
  </si>
  <si>
    <t xml:space="preserve">email marketing agency for ecommerce montreal</t>
  </si>
  <si>
    <t xml:space="preserve">sms marketing agency montreal</t>
  </si>
  <si>
    <t xml:space="preserve">cro agency montreal</t>
  </si>
  <si>
    <t xml:space="preserve">conversion rate optimization agency montreal</t>
  </si>
  <si>
    <t xml:space="preserve">ugc agency montreal</t>
  </si>
  <si>
    <t xml:space="preserve">creative agency for ecommerce montreal</t>
  </si>
  <si>
    <t xml:space="preserve">ecommerce seo agency montreal</t>
  </si>
  <si>
    <t xml:space="preserve">influencer marketing agency montreal</t>
  </si>
  <si>
    <t xml:space="preserve">branding agency for dtc brands montreal</t>
  </si>
  <si>
    <t xml:space="preserve">ecommerce marketing agency ottawa</t>
  </si>
  <si>
    <t xml:space="preserve">Ottawa, Ontario, Canada</t>
  </si>
  <si>
    <t xml:space="preserve">dtc marketing agency ottawa</t>
  </si>
  <si>
    <t xml:space="preserve">ecommerce growth agency ottawa</t>
  </si>
  <si>
    <t xml:space="preserve">paid social agency ottawa</t>
  </si>
  <si>
    <t xml:space="preserve">facebook ads agency ottawa</t>
  </si>
  <si>
    <t xml:space="preserve">meta ads agency ottawa</t>
  </si>
  <si>
    <t xml:space="preserve">tiktok ads agency ottawa</t>
  </si>
  <si>
    <t xml:space="preserve">ppc agency ottawa</t>
  </si>
  <si>
    <t xml:space="preserve">google ads agency ottawa</t>
  </si>
  <si>
    <t xml:space="preserve">google shopping agency ottawa</t>
  </si>
  <si>
    <t xml:space="preserve">amazon ppc agency ottawa</t>
  </si>
  <si>
    <t xml:space="preserve">amazon marketing agency ottawa</t>
  </si>
  <si>
    <t xml:space="preserve">shopify agency ottawa</t>
  </si>
  <si>
    <t xml:space="preserve">shopify plus agency ottawa</t>
  </si>
  <si>
    <t xml:space="preserve">shopify developer ottawa</t>
  </si>
  <si>
    <t xml:space="preserve">klaviyo agency ottawa</t>
  </si>
  <si>
    <t xml:space="preserve">email marketing agency for ecommerce ottawa</t>
  </si>
  <si>
    <t xml:space="preserve">sms marketing agency ottawa</t>
  </si>
  <si>
    <t xml:space="preserve">cro agency ottawa</t>
  </si>
  <si>
    <t xml:space="preserve">conversion rate optimization agency ottawa</t>
  </si>
  <si>
    <t xml:space="preserve">ugc agency ottawa</t>
  </si>
  <si>
    <t xml:space="preserve">creative agency for ecommerce ottawa</t>
  </si>
  <si>
    <t xml:space="preserve">ecommerce seo agency ottawa</t>
  </si>
  <si>
    <t xml:space="preserve">influencer marketing agency ottawa</t>
  </si>
  <si>
    <t xml:space="preserve">branding agency for dtc brands ottawa</t>
  </si>
  <si>
    <t xml:space="preserve">ecommerce marketing agency sydney</t>
  </si>
  <si>
    <t xml:space="preserve">Australia</t>
  </si>
  <si>
    <t xml:space="preserve">Sydney, New South Wales, Australia</t>
  </si>
  <si>
    <t xml:space="preserve">dtc marketing agency sydney</t>
  </si>
  <si>
    <t xml:space="preserve">ecommerce growth agency sydney</t>
  </si>
  <si>
    <t xml:space="preserve">paid social agency sydney</t>
  </si>
  <si>
    <t xml:space="preserve">facebook ads agency sydney</t>
  </si>
  <si>
    <t xml:space="preserve">meta ads agency sydney</t>
  </si>
  <si>
    <t xml:space="preserve">tiktok ads agency sydney</t>
  </si>
  <si>
    <t xml:space="preserve">ppc agency sydney</t>
  </si>
  <si>
    <t xml:space="preserve">google ads agency sydney</t>
  </si>
  <si>
    <t xml:space="preserve">google shopping agency sydney</t>
  </si>
  <si>
    <t xml:space="preserve">amazon ppc agency sydney</t>
  </si>
  <si>
    <t xml:space="preserve">amazon marketing agency sydney</t>
  </si>
  <si>
    <t xml:space="preserve">shopify agency sydney</t>
  </si>
  <si>
    <t xml:space="preserve">shopify plus agency sydney</t>
  </si>
  <si>
    <t xml:space="preserve">shopify developer sydney</t>
  </si>
  <si>
    <t xml:space="preserve">klaviyo agency sydney</t>
  </si>
  <si>
    <t xml:space="preserve">email marketing agency for ecommerce sydney</t>
  </si>
  <si>
    <t xml:space="preserve">sms marketing agency sydney</t>
  </si>
  <si>
    <t xml:space="preserve">cro agency sydney</t>
  </si>
  <si>
    <t xml:space="preserve">conversion rate optimisation agency sydney</t>
  </si>
  <si>
    <t xml:space="preserve">conversion rate optimization agency sydney</t>
  </si>
  <si>
    <t xml:space="preserve">US spelling variant</t>
  </si>
  <si>
    <t xml:space="preserve">ugc agency sydney</t>
  </si>
  <si>
    <t xml:space="preserve">creative agency for ecommerce sydney</t>
  </si>
  <si>
    <t xml:space="preserve">ecommerce seo agency sydney</t>
  </si>
  <si>
    <t xml:space="preserve">influencer marketing agency sydney</t>
  </si>
  <si>
    <t xml:space="preserve">branding agency for dtc brands sydney</t>
  </si>
  <si>
    <t xml:space="preserve">ecommerce marketing agency melbourne</t>
  </si>
  <si>
    <t xml:space="preserve">Melbourne, Victoria, Australia</t>
  </si>
  <si>
    <t xml:space="preserve">dtc marketing agency melbourne</t>
  </si>
  <si>
    <t xml:space="preserve">ecommerce growth agency melbourne</t>
  </si>
  <si>
    <t xml:space="preserve">paid social agency melbourne</t>
  </si>
  <si>
    <t xml:space="preserve">facebook ads agency melbourne</t>
  </si>
  <si>
    <t xml:space="preserve">meta ads agency melbourne</t>
  </si>
  <si>
    <t xml:space="preserve">tiktok ads agency melbourne</t>
  </si>
  <si>
    <t xml:space="preserve">ppc agency melbourne</t>
  </si>
  <si>
    <t xml:space="preserve">google ads agency melbourne</t>
  </si>
  <si>
    <t xml:space="preserve">google shopping agency melbourne</t>
  </si>
  <si>
    <t xml:space="preserve">amazon ppc agency melbourne</t>
  </si>
  <si>
    <t xml:space="preserve">amazon marketing agency melbourne</t>
  </si>
  <si>
    <t xml:space="preserve">shopify agency melbourne</t>
  </si>
  <si>
    <t xml:space="preserve">shopify plus agency melbourne</t>
  </si>
  <si>
    <t xml:space="preserve">shopify developer melbourne</t>
  </si>
  <si>
    <t xml:space="preserve">klaviyo agency melbourne</t>
  </si>
  <si>
    <t xml:space="preserve">email marketing agency for ecommerce melbourne</t>
  </si>
  <si>
    <t xml:space="preserve">sms marketing agency melbourne</t>
  </si>
  <si>
    <t xml:space="preserve">cro agency melbourne</t>
  </si>
  <si>
    <t xml:space="preserve">conversion rate optimisation agency melbourne</t>
  </si>
  <si>
    <t xml:space="preserve">conversion rate optimization agency melbourne</t>
  </si>
  <si>
    <t xml:space="preserve">ugc agency melbourne</t>
  </si>
  <si>
    <t xml:space="preserve">creative agency for ecommerce melbourne</t>
  </si>
  <si>
    <t xml:space="preserve">ecommerce seo agency melbourne</t>
  </si>
  <si>
    <t xml:space="preserve">influencer marketing agency melbourne</t>
  </si>
  <si>
    <t xml:space="preserve">branding agency for dtc brands melbourne</t>
  </si>
  <si>
    <t xml:space="preserve">ecommerce marketing agency brisbane</t>
  </si>
  <si>
    <t xml:space="preserve">Brisbane, Queensland, Australia</t>
  </si>
  <si>
    <t xml:space="preserve">dtc marketing agency brisbane</t>
  </si>
  <si>
    <t xml:space="preserve">ecommerce growth agency brisbane</t>
  </si>
  <si>
    <t xml:space="preserve">paid social agency brisbane</t>
  </si>
  <si>
    <t xml:space="preserve">facebook ads agency brisbane</t>
  </si>
  <si>
    <t xml:space="preserve">meta ads agency brisbane</t>
  </si>
  <si>
    <t xml:space="preserve">tiktok ads agency brisbane</t>
  </si>
  <si>
    <t xml:space="preserve">ppc agency brisbane</t>
  </si>
  <si>
    <t xml:space="preserve">google ads agency brisbane</t>
  </si>
  <si>
    <t xml:space="preserve">google shopping agency brisbane</t>
  </si>
  <si>
    <t xml:space="preserve">amazon ppc agency brisbane</t>
  </si>
  <si>
    <t xml:space="preserve">amazon marketing agency brisbane</t>
  </si>
  <si>
    <t xml:space="preserve">shopify agency brisbane</t>
  </si>
  <si>
    <t xml:space="preserve">shopify plus agency brisbane</t>
  </si>
  <si>
    <t xml:space="preserve">shopify developer brisbane</t>
  </si>
  <si>
    <t xml:space="preserve">klaviyo agency brisbane</t>
  </si>
  <si>
    <t xml:space="preserve">email marketing agency for ecommerce brisbane</t>
  </si>
  <si>
    <t xml:space="preserve">sms marketing agency brisbane</t>
  </si>
  <si>
    <t xml:space="preserve">cro agency brisbane</t>
  </si>
  <si>
    <t xml:space="preserve">conversion rate optimisation agency brisbane</t>
  </si>
  <si>
    <t xml:space="preserve">conversion rate optimization agency brisbane</t>
  </si>
  <si>
    <t xml:space="preserve">ugc agency brisbane</t>
  </si>
  <si>
    <t xml:space="preserve">creative agency for ecommerce brisbane</t>
  </si>
  <si>
    <t xml:space="preserve">ecommerce seo agency brisbane</t>
  </si>
  <si>
    <t xml:space="preserve">influencer marketing agency brisbane</t>
  </si>
  <si>
    <t xml:space="preserve">branding agency for dtc brands brisbane</t>
  </si>
  <si>
    <t xml:space="preserve">ecommerce marketing agency perth</t>
  </si>
  <si>
    <t xml:space="preserve">Perth, Western Australia, Australia</t>
  </si>
  <si>
    <t xml:space="preserve">dtc marketing agency perth</t>
  </si>
  <si>
    <t xml:space="preserve">ecommerce growth agency perth</t>
  </si>
  <si>
    <t xml:space="preserve">paid social agency perth</t>
  </si>
  <si>
    <t xml:space="preserve">facebook ads agency perth</t>
  </si>
  <si>
    <t xml:space="preserve">meta ads agency perth</t>
  </si>
  <si>
    <t xml:space="preserve">tiktok ads agency perth</t>
  </si>
  <si>
    <t xml:space="preserve">ppc agency perth</t>
  </si>
  <si>
    <t xml:space="preserve">google ads agency perth</t>
  </si>
  <si>
    <t xml:space="preserve">google shopping agency perth</t>
  </si>
  <si>
    <t xml:space="preserve">amazon ppc agency perth</t>
  </si>
  <si>
    <t xml:space="preserve">amazon marketing agency perth</t>
  </si>
  <si>
    <t xml:space="preserve">shopify agency perth</t>
  </si>
  <si>
    <t xml:space="preserve">shopify plus agency perth</t>
  </si>
  <si>
    <t xml:space="preserve">shopify developer perth</t>
  </si>
  <si>
    <t xml:space="preserve">klaviyo agency perth</t>
  </si>
  <si>
    <t xml:space="preserve">email marketing agency for ecommerce perth</t>
  </si>
  <si>
    <t xml:space="preserve">sms marketing agency perth</t>
  </si>
  <si>
    <t xml:space="preserve">cro agency perth</t>
  </si>
  <si>
    <t xml:space="preserve">conversion rate optimisation agency perth</t>
  </si>
  <si>
    <t xml:space="preserve">conversion rate optimization agency perth</t>
  </si>
  <si>
    <t xml:space="preserve">ugc agency perth</t>
  </si>
  <si>
    <t xml:space="preserve">creative agency for ecommerce perth</t>
  </si>
  <si>
    <t xml:space="preserve">ecommerce seo agency perth</t>
  </si>
  <si>
    <t xml:space="preserve">influencer marketing agency perth</t>
  </si>
  <si>
    <t xml:space="preserve">branding agency for dtc brands perth</t>
  </si>
  <si>
    <t xml:space="preserve">ecommerce marketing agency gold coast</t>
  </si>
  <si>
    <t xml:space="preserve">Gold Coast, Queensland, Australia</t>
  </si>
  <si>
    <t xml:space="preserve">dtc marketing agency gold coast</t>
  </si>
  <si>
    <t xml:space="preserve">ecommerce growth agency gold coast</t>
  </si>
  <si>
    <t xml:space="preserve">paid social agency gold coast</t>
  </si>
  <si>
    <t xml:space="preserve">facebook ads agency gold coast</t>
  </si>
  <si>
    <t xml:space="preserve">meta ads agency gold coast</t>
  </si>
  <si>
    <t xml:space="preserve">tiktok ads agency gold coast</t>
  </si>
  <si>
    <t xml:space="preserve">ppc agency gold coast</t>
  </si>
  <si>
    <t xml:space="preserve">google ads agency gold coast</t>
  </si>
  <si>
    <t xml:space="preserve">google shopping agency gold coast</t>
  </si>
  <si>
    <t xml:space="preserve">amazon ppc agency gold coast</t>
  </si>
  <si>
    <t xml:space="preserve">amazon marketing agency gold coast</t>
  </si>
  <si>
    <t xml:space="preserve">shopify agency gold coast</t>
  </si>
  <si>
    <t xml:space="preserve">shopify plus agency gold coast</t>
  </si>
  <si>
    <t xml:space="preserve">shopify developer gold coast</t>
  </si>
  <si>
    <t xml:space="preserve">klaviyo agency gold coast</t>
  </si>
  <si>
    <t xml:space="preserve">email marketing agency for ecommerce gold coast</t>
  </si>
  <si>
    <t xml:space="preserve">sms marketing agency gold coast</t>
  </si>
  <si>
    <t xml:space="preserve">cro agency gold coast</t>
  </si>
  <si>
    <t xml:space="preserve">conversion rate optimisation agency gold coast</t>
  </si>
  <si>
    <t xml:space="preserve">conversion rate optimization agency gold coast</t>
  </si>
  <si>
    <t xml:space="preserve">ugc agency gold coast</t>
  </si>
  <si>
    <t xml:space="preserve">creative agency for ecommerce gold coast</t>
  </si>
  <si>
    <t xml:space="preserve">ecommerce seo agency gold coast</t>
  </si>
  <si>
    <t xml:space="preserve">influencer marketing agency gold coast</t>
  </si>
  <si>
    <t xml:space="preserve">branding agency for dtc brands gold coast</t>
  </si>
  <si>
    <t xml:space="preserve">ecommerce marketing agency adelaide</t>
  </si>
  <si>
    <t xml:space="preserve">Adelaide, South Australia, Australia</t>
  </si>
  <si>
    <t xml:space="preserve">dtc marketing agency adelaide</t>
  </si>
  <si>
    <t xml:space="preserve">ecommerce growth agency adelaide</t>
  </si>
  <si>
    <t xml:space="preserve">paid social agency adelaide</t>
  </si>
  <si>
    <t xml:space="preserve">facebook ads agency adelaide</t>
  </si>
  <si>
    <t xml:space="preserve">meta ads agency adelaide</t>
  </si>
  <si>
    <t xml:space="preserve">tiktok ads agency adelaide</t>
  </si>
  <si>
    <t xml:space="preserve">ppc agency adelaide</t>
  </si>
  <si>
    <t xml:space="preserve">google ads agency adelaide</t>
  </si>
  <si>
    <t xml:space="preserve">google shopping agency adelaide</t>
  </si>
  <si>
    <t xml:space="preserve">amazon ppc agency adelaide</t>
  </si>
  <si>
    <t xml:space="preserve">amazon marketing agency adelaide</t>
  </si>
  <si>
    <t xml:space="preserve">shopify agency adelaide</t>
  </si>
  <si>
    <t xml:space="preserve">shopify plus agency adelaide</t>
  </si>
  <si>
    <t xml:space="preserve">shopify developer adelaide</t>
  </si>
  <si>
    <t xml:space="preserve">klaviyo agency adelaide</t>
  </si>
  <si>
    <t xml:space="preserve">email marketing agency for ecommerce adelaide</t>
  </si>
  <si>
    <t xml:space="preserve">sms marketing agency adelaide</t>
  </si>
  <si>
    <t xml:space="preserve">cro agency adelaide</t>
  </si>
  <si>
    <t xml:space="preserve">conversion rate optimisation agency adelaide</t>
  </si>
  <si>
    <t xml:space="preserve">conversion rate optimization agency adelaide</t>
  </si>
  <si>
    <t xml:space="preserve">ugc agency adelaide</t>
  </si>
  <si>
    <t xml:space="preserve">creative agency for ecommerce adelaide</t>
  </si>
  <si>
    <t xml:space="preserve">ecommerce seo agency adelaide</t>
  </si>
  <si>
    <t xml:space="preserve">influencer marketing agency adelaide</t>
  </si>
  <si>
    <t xml:space="preserve">branding agency for dtc brands adelaide</t>
  </si>
  <si>
    <t xml:space="preserve">meta ads management cost dubai</t>
  </si>
  <si>
    <t xml:space="preserve">UAE pricing guide</t>
  </si>
  <si>
    <t xml:space="preserve">digital marketing agency cost dubai</t>
  </si>
  <si>
    <t xml:space="preserve">social media marketing packages dubai</t>
  </si>
  <si>
    <t xml:space="preserve">shopify website cost dubai</t>
  </si>
  <si>
    <t xml:space="preserve">best performance marketing agency in dubai</t>
  </si>
  <si>
    <t xml:space="preserve">top ecommerce agencies in uae</t>
  </si>
  <si>
    <t xml:space="preserve">talabat mart ads</t>
  </si>
  <si>
    <t xml:space="preserve">GCC Q-com page</t>
  </si>
  <si>
    <t xml:space="preserve">noon minutes seller</t>
  </si>
  <si>
    <t xml:space="preserve">careem quik brands</t>
  </si>
  <si>
    <t xml:space="preserve">quick commerce uae</t>
  </si>
  <si>
    <t xml:space="preserve">quick commerce agency uae</t>
  </si>
  <si>
    <t xml:space="preserve">how to sell on noon</t>
  </si>
  <si>
    <t xml:space="preserve">how to sell on amazon ae</t>
  </si>
  <si>
    <t xml:space="preserve">how to launch d2c brand in dubai</t>
  </si>
  <si>
    <t xml:space="preserve">expand indian brand to uae</t>
  </si>
  <si>
    <t xml:space="preserve">Corridor guide</t>
  </si>
  <si>
    <t xml:space="preserve">indian d2c brands in uae</t>
  </si>
  <si>
    <t xml:space="preserve">arabic ad creatives agency</t>
  </si>
  <si>
    <t xml:space="preserve">arabic ugc creators</t>
  </si>
  <si>
    <t xml:space="preserve">dtc marketing agency</t>
  </si>
  <si>
    <t xml:space="preserve">United States (national)</t>
  </si>
  <si>
    <t xml:space="preserve">ecommerce marketing agency</t>
  </si>
  <si>
    <t xml:space="preserve">ecommerce marketing agency cost</t>
  </si>
  <si>
    <t xml:space="preserve">white label facebook ads</t>
  </si>
  <si>
    <t xml:space="preserve">White label</t>
  </si>
  <si>
    <t xml:space="preserve">White label page</t>
  </si>
  <si>
    <t xml:space="preserve">white label meta ads management</t>
  </si>
  <si>
    <t xml:space="preserve">white label paid social</t>
  </si>
  <si>
    <t xml:space="preserve">white label ppc</t>
  </si>
  <si>
    <t xml:space="preserve">white label google ads management</t>
  </si>
  <si>
    <t xml:space="preserve">white label amazon ppc</t>
  </si>
  <si>
    <t xml:space="preserve">white label shopify development</t>
  </si>
  <si>
    <t xml:space="preserve">shopify white label partner</t>
  </si>
  <si>
    <t xml:space="preserve">white label ad creatives</t>
  </si>
  <si>
    <t xml:space="preserve">white label ugc</t>
  </si>
  <si>
    <t xml:space="preserve">white label klaviyo</t>
  </si>
  <si>
    <t xml:space="preserve">white label marketing agency india</t>
  </si>
  <si>
    <t xml:space="preserve">outsource shopify development to india</t>
  </si>
  <si>
    <t xml:space="preserve">Offshore</t>
  </si>
  <si>
    <t xml:space="preserve">outsource ppc to india</t>
  </si>
  <si>
    <t xml:space="preserve">outsource facebook ads management</t>
  </si>
  <si>
    <t xml:space="preserve">offshore performance marketing team</t>
  </si>
  <si>
    <t xml:space="preserve">dedicated media buyer offshore</t>
  </si>
  <si>
    <t xml:space="preserve">Canada (national)</t>
  </si>
  <si>
    <t xml:space="preserve">Australia (national)</t>
  </si>
  <si>
    <t xml:space="preserve">Total Ahrefs/Semrush volume by service and market (fills automatically)</t>
  </si>
  <si>
    <t xml:space="preserve">Keywords listed</t>
  </si>
  <si>
    <t xml:space="preserve">Total Opportunity Score</t>
  </si>
  <si>
    <t xml:space="preserve">Total</t>
  </si>
  <si>
    <t xml:space="preserve">India city keyword volume (fills automatically)</t>
  </si>
  <si>
    <t xml:space="preserve">Volume</t>
  </si>
  <si>
    <t xml:space="preserve">Keywords</t>
  </si>
  <si>
    <t xml:space="preserve">City / Region</t>
  </si>
  <si>
    <t xml:space="preserve">Keywords in sheet</t>
  </si>
  <si>
    <t xml:space="preserve">Volume (auto)</t>
  </si>
  <si>
    <t xml:space="preserve">Why it matters (evidence or inference)</t>
  </si>
  <si>
    <t xml:space="preserve">Main risk</t>
  </si>
  <si>
    <t xml:space="preserve">Recommended approach</t>
  </si>
  <si>
    <t xml:space="preserve">Confidence</t>
  </si>
  <si>
    <t xml:space="preserve">Dubai</t>
  </si>
  <si>
    <t xml:space="preserve">Core of UAE D2C, marketplaces (Amazon.ae, Noon, Namshi) and agency buying. Published Meta agency fees AED 8K to 22K a month, 2.5 to 7x MMC's India ticket (upGrowth, 2026).</t>
  </si>
  <si>
    <t xml:space="preserve">Crowded local agency market; buyers expect local presence and Arabic creative. Do not claim a Dubai office.</t>
  </si>
  <si>
    <t xml:space="preserve">One UAE growth page + GCC Q-com page + corridor outreach to Indian brands on Amazon.ae and Noon</t>
  </si>
  <si>
    <t xml:space="preserve">Validate (90-day test)</t>
  </si>
  <si>
    <t xml:space="preserve">Medium</t>
  </si>
  <si>
    <t xml:space="preserve">Abu Dhabi</t>
  </si>
  <si>
    <t xml:space="preserve">Government and enterprise heavy; fewer D2C founders than Dubai (inference).</t>
  </si>
  <si>
    <t xml:space="preserve">Buying skews to large tenders and government vendors.</t>
  </si>
  <si>
    <t xml:space="preserve">Covered by UAE page; no separate page</t>
  </si>
  <si>
    <t xml:space="preserve">Later</t>
  </si>
  <si>
    <t xml:space="preserve">Low</t>
  </si>
  <si>
    <t xml:space="preserve">Sharjah</t>
  </si>
  <si>
    <t xml:space="preserve">Lower-cost base for small traders and some ecommerce operators (inference).</t>
  </si>
  <si>
    <t xml:space="preserve">Lower budgets; overlaps Dubai metro.</t>
  </si>
  <si>
    <t xml:space="preserve">Covered by Dubai/UAE page</t>
  </si>
  <si>
    <t xml:space="preserve">Deprioritise</t>
  </si>
  <si>
    <t xml:space="preserve">UAE (national)</t>
  </si>
  <si>
    <t xml:space="preserve">Ecommerce estimated AED 45.1B in 2026 (businessdubai.ae). Quick commerce players: Talabat Mart, Noon Minutes, Careem Quik.</t>
  </si>
  <si>
    <t xml:space="preserve">Small Shopify base (about 12K stores) caps organic volume.</t>
  </si>
  <si>
    <t xml:space="preserve">GCC quick commerce guide is the clearest unclaimed angle</t>
  </si>
  <si>
    <t xml:space="preserve">Validate</t>
  </si>
  <si>
    <t xml:space="preserve">New York</t>
  </si>
  <si>
    <t xml:space="preserve">Largest concentration of DTC brands and consumer-brand buyers; DTC stores cluster in NYC (Retail Dive).</t>
  </si>
  <si>
    <t xml:space="preserve">Most competitive agency SERPs in the world; local agencies dominate.</t>
  </si>
  <si>
    <t xml:space="preserve">Monitor only. Reach via white label to NYC agencies</t>
  </si>
  <si>
    <t xml:space="preserve">Deprioritise (direct)</t>
  </si>
  <si>
    <t xml:space="preserve">Los Angeles</t>
  </si>
  <si>
    <t xml:space="preserve">Fashion, beauty, lifestyle and creator-led DTC hub (Printful, mean.ceo 2026).</t>
  </si>
  <si>
    <t xml:space="preserve">Same as NYC; creative-heavy expectations.</t>
  </si>
  <si>
    <t xml:space="preserve">Monitor only; UGC white label angle</t>
  </si>
  <si>
    <t xml:space="preserve">San Francisco Bay Area</t>
  </si>
  <si>
    <t xml:space="preserve">Top startup ecosystem; large Indian-founder population (inference).</t>
  </si>
  <si>
    <t xml:space="preserve">Tech-first, not D2C-first; very high CAC to win.</t>
  </si>
  <si>
    <t xml:space="preserve">Founder network / referral, not SEO</t>
  </si>
  <si>
    <t xml:space="preserve">Austin</t>
  </si>
  <si>
    <t xml:space="preserve">Emerging DTC and beauty hub; South Congress called DTC Row (Glossy).</t>
  </si>
  <si>
    <t xml:space="preserve">Small agency market; local relationships matter.</t>
  </si>
  <si>
    <t xml:space="preserve">Monitor</t>
  </si>
  <si>
    <t xml:space="preserve">Miami</t>
  </si>
  <si>
    <t xml:space="preserve">Digital-first and Hispanic-market brands (Printful).</t>
  </si>
  <si>
    <t xml:space="preserve">Spanish-language creative demand.</t>
  </si>
  <si>
    <t xml:space="preserve">Dallas / Houston</t>
  </si>
  <si>
    <t xml:space="preserve">Dallas, Texas / Houston, Texas, United States</t>
  </si>
  <si>
    <t xml:space="preserve">Mid-size DTC growth markets; sizeable Indian diaspora business communities (inference).</t>
  </si>
  <si>
    <t xml:space="preserve">No proof base.</t>
  </si>
  <si>
    <t xml:space="preserve">Diaspora founder outreach test only</t>
  </si>
  <si>
    <t xml:space="preserve">New Jersey</t>
  </si>
  <si>
    <t xml:space="preserve">Dense Indian-American business community (Edison, Jersey City) and NYC metro brands (inference).</t>
  </si>
  <si>
    <t xml:space="preserve">Small-business budgets in diaspora segment.</t>
  </si>
  <si>
    <t xml:space="preserve">Possible corridor test for Indian-origin food/ethnic brands</t>
  </si>
  <si>
    <t xml:space="preserve">Chicago / Seattle / Boston / Denver</t>
  </si>
  <si>
    <t xml:space="preserve">Respective cities</t>
  </si>
  <si>
    <t xml:space="preserve">Secondary ecommerce hubs; Boston and Chicago show up for DTC retail (Retail Dive).</t>
  </si>
  <si>
    <t xml:space="preserve">No differentiator for MMC.</t>
  </si>
  <si>
    <t xml:space="preserve">Toronto + Mississauga + Brampton</t>
  </si>
  <si>
    <t xml:space="preserve">Canada's largest ecommerce cluster; about 6.2K Shopify Plus stores nationally, second to US; large South Asian founder base in Peel region (inference).</t>
  </si>
  <si>
    <t xml:space="preserve">Expects North American time-zone service.</t>
  </si>
  <si>
    <t xml:space="preserve">Diaspora founder test via referrals and LinkedIn; one white label page covers SEO</t>
  </si>
  <si>
    <t xml:space="preserve">Vancouver</t>
  </si>
  <si>
    <t xml:space="preserve">Strong DTC and lifestyle brand base (inference).</t>
  </si>
  <si>
    <t xml:space="preserve">Pacific time = worst overlap with IST.</t>
  </si>
  <si>
    <t xml:space="preserve">Montreal</t>
  </si>
  <si>
    <t xml:space="preserve">French-language market.</t>
  </si>
  <si>
    <t xml:space="preserve">Quebec French-language requirements for commercial content.</t>
  </si>
  <si>
    <t xml:space="preserve">Exclude</t>
  </si>
  <si>
    <t xml:space="preserve">Calgary / Ottawa</t>
  </si>
  <si>
    <t xml:space="preserve">Smaller ecommerce bases.</t>
  </si>
  <si>
    <t xml:space="preserve">Low volume.</t>
  </si>
  <si>
    <t xml:space="preserve">Sydney</t>
  </si>
  <si>
    <t xml:space="preserve">Largest AU ecommerce and agency market; AU has about 4.4K Shopify Plus stores.</t>
  </si>
  <si>
    <t xml:space="preserve">Local-agency preference; AU spelling and terminology required.</t>
  </si>
  <si>
    <t xml:space="preserve">White label to Sydney agencies (best time-zone overlap of the three western markets)</t>
  </si>
  <si>
    <t xml:space="preserve">Melbourne</t>
  </si>
  <si>
    <t xml:space="preserve">Fashion and DTC heavy (inference).</t>
  </si>
  <si>
    <t xml:space="preserve">Same as Sydney.</t>
  </si>
  <si>
    <t xml:space="preserve">Brisbane / Gold Coast</t>
  </si>
  <si>
    <t xml:space="preserve">Growing ecommerce operator base; Gold Coast has many online sellers (inference).</t>
  </si>
  <si>
    <t xml:space="preserve">Small agency market.</t>
  </si>
  <si>
    <t xml:space="preserve">Perth / Adelaide</t>
  </si>
  <si>
    <t xml:space="preserve">Small markets; Perth is IST+2.5h, the best overlap (fact).</t>
  </si>
  <si>
    <t xml:space="preserve">Grouped rows (e.g. Dallas / Houston) show 0 in the auto columns; filter the Keywords sheet by each city's GKP Location instead.</t>
  </si>
  <si>
    <t xml:space="preserve">Term or pattern</t>
  </si>
  <si>
    <t xml:space="preserve">Why exclude</t>
  </si>
  <si>
    <t xml:space="preserve">Use as</t>
  </si>
  <si>
    <t xml:space="preserve">Applies to</t>
  </si>
  <si>
    <t xml:space="preserve">jobs, salary, internship, interview questions, resume</t>
  </si>
  <si>
    <t xml:space="preserve">Job seekers, not buyers</t>
  </si>
  <si>
    <t xml:space="preserve">Organic: ignore. Paid: negative keyword</t>
  </si>
  <si>
    <t xml:space="preserve">All services</t>
  </si>
  <si>
    <t xml:space="preserve">course, certification, syllabus, exam</t>
  </si>
  <si>
    <t xml:space="preserve">Learners, not buyers</t>
  </si>
  <si>
    <t xml:space="preserve">Organic: ignore. Paid: negative</t>
  </si>
  <si>
    <t xml:space="preserve">free template, download, cracked</t>
  </si>
  <si>
    <t xml:space="preserve">No purchase intent</t>
  </si>
  <si>
    <t xml:space="preserve">Paid: negative</t>
  </si>
  <si>
    <t xml:space="preserve">buy lead database, contact list, telecalling jobs, appointment setter</t>
  </si>
  <si>
    <t xml:space="preserve">Outbound or data buyers; MMC sells inbound</t>
  </si>
  <si>
    <t xml:space="preserve">Paid: negative unless scope changes</t>
  </si>
  <si>
    <t xml:space="preserve">ugc creator jobs, become a ugc creator, modelling auditions</t>
  </si>
  <si>
    <t xml:space="preserve">Creators looking for work</t>
  </si>
  <si>
    <t xml:space="preserve">UGC / creatives</t>
  </si>
  <si>
    <t xml:space="preserve">whatsapp bulk sender software</t>
  </si>
  <si>
    <t xml:space="preserve">Wants a tool, not managed service</t>
  </si>
  <si>
    <t xml:space="preserve">Paid: negative (contextual)</t>
  </si>
  <si>
    <t xml:space="preserve">Retention</t>
  </si>
  <si>
    <t xml:space="preserve">school admission near me, college application form</t>
  </si>
  <si>
    <t xml:space="preserve">Parents and students, not institutions</t>
  </si>
  <si>
    <t xml:space="preserve">Education</t>
  </si>
  <si>
    <t xml:space="preserve">monday.com, monday crm, monday marketing templates</t>
  </si>
  <si>
    <t xml:space="preserve">Brand collision with monday.com SaaS</t>
  </si>
  <si>
    <t xml:space="preserve">Always use full name 'Monday Marketing Company'; paid: negative on monday.com terms</t>
  </si>
  <si>
    <t xml:space="preserve">pricing, cost, affordable</t>
  </si>
  <si>
    <t xml:space="preserve">NOT excluded: often purchase intent</t>
  </si>
  <si>
    <t xml:space="preserve">Keep. Qualify on the page instead</t>
  </si>
  <si>
    <t xml:space="preserve">Intent weight</t>
  </si>
  <si>
    <t xml:space="preserve">Ready to hire</t>
  </si>
  <si>
    <t xml:space="preserve">Comparing agencies or prices</t>
  </si>
  <si>
    <t xml:space="preserve">Learning; feeds AEO/GEO and retargeting</t>
  </si>
  <si>
    <t xml:space="preserve">Market weight</t>
  </si>
  <si>
    <t xml:space="preserve">Core market, proof exists</t>
  </si>
  <si>
    <t xml:space="preserve">Higher fees (AED 8K to 22K retainers); test market</t>
  </si>
  <si>
    <t xml:space="preserve">Direct winning unlikely; white label only</t>
  </si>
  <si>
    <t xml:space="preserve">Deprioritised</t>
  </si>
  <si>
    <t xml:space="preserve">Priority weight</t>
  </si>
  <si>
    <t xml:space="preserve">1</t>
  </si>
  <si>
    <t xml:space="preserve">Build first</t>
  </si>
  <si>
    <t xml:space="preserve">2</t>
  </si>
  <si>
    <t xml:space="preserve">Build after proof</t>
  </si>
  <si>
    <t xml:space="preserve">3</t>
  </si>
  <si>
    <t xml:space="preserve">Low effort</t>
  </si>
  <si>
    <t xml:space="preserve">4</t>
  </si>
  <si>
    <t xml:space="preserve">Monitor only</t>
  </si>
  <si>
    <t xml:space="preserve">Weights are judgement calls by the strategist, not data. Change the yellow cells and every score recalculates.</t>
  </si>
</sst>
</file>

<file path=xl/styles.xml><?xml version="1.0" encoding="utf-8"?>
<styleSheet xmlns="http://schemas.openxmlformats.org/spreadsheetml/2006/main">
  <numFmts count="2">
    <numFmt numFmtId="164" formatCode="General"/>
    <numFmt numFmtId="165" formatCode="#,##0;\-#,##0;\-"/>
  </numFmts>
  <fonts count="14">
    <font>
      <sz val="11"/>
      <color theme="1"/>
      <name val="Calibri"/>
      <family val="2"/>
      <charset val="1"/>
    </font>
    <font>
      <sz val="10"/>
      <name val="Arial"/>
      <family val="0"/>
    </font>
    <font>
      <sz val="10"/>
      <name val="Arial"/>
      <family val="0"/>
    </font>
    <font>
      <sz val="10"/>
      <name val="Arial"/>
      <family val="0"/>
    </font>
    <font>
      <b val="true"/>
      <sz val="12"/>
      <color rgb="FF1D4A91"/>
      <name val="Arial"/>
      <family val="0"/>
      <charset val="1"/>
    </font>
    <font>
      <sz val="10"/>
      <color rgb="FF000000"/>
      <name val="Arial"/>
      <family val="0"/>
      <charset val="1"/>
    </font>
    <font>
      <b val="true"/>
      <sz val="10"/>
      <color rgb="FF1D4A91"/>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1"/>
      <name val="Arial"/>
      <family val="0"/>
      <charset val="1"/>
    </font>
    <font>
      <i val="true"/>
      <sz val="9"/>
      <name val="Arial"/>
      <family val="0"/>
      <charset val="1"/>
    </font>
    <font>
      <b val="true"/>
      <sz val="11"/>
      <color rgb="FF1D4A91"/>
      <name val="Arial"/>
      <family val="0"/>
      <charset val="1"/>
    </font>
    <font>
      <i val="true"/>
      <sz val="9"/>
      <color rgb="FF595959"/>
      <name val="Arial"/>
      <family val="0"/>
      <charset val="1"/>
    </font>
  </fonts>
  <fills count="4">
    <fill>
      <patternFill patternType="none"/>
    </fill>
    <fill>
      <patternFill patternType="gray125"/>
    </fill>
    <fill>
      <patternFill patternType="solid">
        <fgColor rgb="FF1D4A91"/>
        <bgColor rgb="FF003366"/>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D4A91"/>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D4A91"/>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23.8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3" t="s">
        <v>3</v>
      </c>
    </row>
    <row r="7" customFormat="false" ht="23.85" hidden="false" customHeight="false" outlineLevel="0" collapsed="false">
      <c r="A7" s="2" t="s">
        <v>4</v>
      </c>
    </row>
    <row r="8" customFormat="false" ht="23.85" hidden="false" customHeight="false" outlineLevel="0" collapsed="false">
      <c r="A8" s="2" t="s">
        <v>5</v>
      </c>
    </row>
    <row r="9" customFormat="false" ht="23.8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row>
    <row r="13" customFormat="false" ht="15" hidden="false" customHeight="false" outlineLevel="0" collapsed="false">
      <c r="A13" s="3" t="s">
        <v>9</v>
      </c>
    </row>
    <row r="14" customFormat="false" ht="15" hidden="false" customHeight="false" outlineLevel="0" collapsed="false">
      <c r="A14" s="2" t="s">
        <v>10</v>
      </c>
    </row>
    <row r="15" customFormat="false" ht="15" hidden="false" customHeight="false" outlineLevel="0" collapsed="false">
      <c r="A15" s="2"/>
    </row>
    <row r="16" customFormat="false" ht="15" hidden="false" customHeight="false" outlineLevel="0" collapsed="false">
      <c r="A16" s="3" t="s">
        <v>11</v>
      </c>
    </row>
    <row r="17" customFormat="false" ht="15" hidden="false" customHeight="false" outlineLevel="0" collapsed="false">
      <c r="A17" s="2" t="s">
        <v>12</v>
      </c>
    </row>
    <row r="18" customFormat="false" ht="15" hidden="false" customHeight="false" outlineLevel="0" collapsed="false">
      <c r="A18" s="2"/>
    </row>
    <row r="19" customFormat="false" ht="15" hidden="false" customHeight="false" outlineLevel="0" collapsed="false">
      <c r="A19" s="3" t="s">
        <v>13</v>
      </c>
    </row>
    <row r="20" customFormat="false" ht="23.85" hidden="false" customHeight="false" outlineLevel="0" collapsed="false">
      <c r="A20" s="2" t="s">
        <v>14</v>
      </c>
    </row>
    <row r="21" customFormat="false" ht="15" hidden="false" customHeight="false" outlineLevel="0" collapsed="false">
      <c r="A21" s="2"/>
    </row>
    <row r="22" customFormat="false" ht="23.85" hidden="false" customHeight="false" outlineLevel="0" collapsed="false">
      <c r="A22" s="2" t="s">
        <v>15</v>
      </c>
    </row>
    <row r="24" customFormat="false" ht="15" hidden="false" customHeight="false" outlineLevel="0" collapsed="false">
      <c r="A24" s="0"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3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44"/>
    <col collapsed="false" customWidth="true" hidden="false" outlineLevel="0" max="3" min="3" style="0" width="22"/>
    <col collapsed="false" customWidth="true" hidden="false" outlineLevel="0" max="4" min="4" style="0" width="18"/>
    <col collapsed="false" customWidth="true" hidden="false" outlineLevel="0" max="5" min="5" style="0" width="14"/>
    <col collapsed="false" customWidth="true" hidden="false" outlineLevel="0" max="6" min="6" style="0" width="32"/>
    <col collapsed="false" customWidth="true" hidden="false" outlineLevel="0" max="8" min="7" style="0" width="13"/>
    <col collapsed="false" customWidth="true" hidden="false" outlineLevel="0" max="9" min="9" style="0" width="30"/>
    <col collapsed="false" customWidth="true" hidden="false" outlineLevel="0" max="10" min="10" style="0" width="8"/>
    <col collapsed="false" customWidth="true" hidden="false" outlineLevel="0" max="11" min="11" style="0" width="30"/>
    <col collapsed="false" customWidth="true" hidden="false" outlineLevel="0" max="12" min="12" style="0" width="18"/>
    <col collapsed="false" customWidth="true" hidden="false" outlineLevel="0" max="13" min="13" style="0" width="14"/>
    <col collapsed="false" customWidth="true" hidden="false" outlineLevel="0" max="14" min="14" style="0" width="7"/>
    <col collapsed="false" customWidth="true" hidden="false" outlineLevel="0" max="15" min="15" style="0" width="10"/>
    <col collapsed="false" customWidth="true" hidden="false" outlineLevel="0" max="16" min="16" style="0" width="12"/>
    <col collapsed="false" customWidth="true" hidden="false" outlineLevel="0" max="17" min="17" style="0" width="10"/>
  </cols>
  <sheetData>
    <row r="1" customFormat="false" ht="31.5" hidden="false" customHeight="true" outlineLevel="0" collapsed="false">
      <c r="A1" s="4" t="s">
        <v>17</v>
      </c>
      <c r="B1" s="4" t="s">
        <v>18</v>
      </c>
      <c r="C1" s="4" t="s">
        <v>19</v>
      </c>
      <c r="D1" s="4" t="s">
        <v>20</v>
      </c>
      <c r="E1" s="4" t="s">
        <v>21</v>
      </c>
      <c r="F1" s="4" t="s">
        <v>22</v>
      </c>
      <c r="G1" s="4" t="s">
        <v>23</v>
      </c>
      <c r="H1" s="4" t="s">
        <v>24</v>
      </c>
      <c r="I1" s="4" t="s">
        <v>25</v>
      </c>
      <c r="J1" s="4" t="s">
        <v>26</v>
      </c>
      <c r="K1" s="4" t="s">
        <v>27</v>
      </c>
      <c r="L1" s="4" t="s">
        <v>28</v>
      </c>
      <c r="M1" s="4" t="s">
        <v>29</v>
      </c>
      <c r="N1" s="4" t="s">
        <v>30</v>
      </c>
      <c r="O1" s="4" t="s">
        <v>31</v>
      </c>
      <c r="P1" s="4" t="s">
        <v>32</v>
      </c>
      <c r="Q1" s="4" t="s">
        <v>33</v>
      </c>
    </row>
    <row r="2" customFormat="false" ht="15" hidden="false" customHeight="false" outlineLevel="0" collapsed="false">
      <c r="A2" s="5" t="n">
        <v>1</v>
      </c>
      <c r="B2" s="5" t="s">
        <v>34</v>
      </c>
      <c r="C2" s="5" t="s">
        <v>35</v>
      </c>
      <c r="D2" s="5" t="s">
        <v>36</v>
      </c>
      <c r="E2" s="5" t="s">
        <v>37</v>
      </c>
      <c r="F2" s="5" t="s">
        <v>38</v>
      </c>
      <c r="G2" s="5" t="s">
        <v>39</v>
      </c>
      <c r="H2" s="5" t="s">
        <v>40</v>
      </c>
      <c r="I2" s="5" t="s">
        <v>41</v>
      </c>
      <c r="J2" s="5" t="n">
        <v>1</v>
      </c>
      <c r="K2" s="5"/>
      <c r="L2" s="6"/>
      <c r="M2" s="6"/>
      <c r="N2" s="6"/>
      <c r="O2" s="6"/>
      <c r="P2" s="5" t="str">
        <f aca="false">IF(M2="","",ROUND(M2*IFERROR(INDEX(Weights!$B$2:$B$4,MATCH(G2,Weights!$A$2:$A$4,0)),0)*IFERROR(INDEX(Weights!$B$7:$B$11,MATCH(E2,Weights!$A$7:$A$11,0)),0)*IFERROR(INDEX(Weights!$B$14:$B$17,MATCH(TEXT(J2,"0"),Weights!$A$14:$A$17,0)),0)/(1+N(N2)/50),1))</f>
        <v/>
      </c>
      <c r="Q2" s="5" t="s">
        <v>42</v>
      </c>
    </row>
    <row r="3" customFormat="false" ht="15" hidden="false" customHeight="false" outlineLevel="0" collapsed="false">
      <c r="A3" s="5" t="n">
        <v>2</v>
      </c>
      <c r="B3" s="5" t="s">
        <v>43</v>
      </c>
      <c r="C3" s="5" t="s">
        <v>35</v>
      </c>
      <c r="D3" s="5" t="s">
        <v>36</v>
      </c>
      <c r="E3" s="5" t="s">
        <v>37</v>
      </c>
      <c r="F3" s="5" t="s">
        <v>38</v>
      </c>
      <c r="G3" s="5" t="s">
        <v>39</v>
      </c>
      <c r="H3" s="5" t="s">
        <v>40</v>
      </c>
      <c r="I3" s="5" t="s">
        <v>44</v>
      </c>
      <c r="J3" s="5" t="n">
        <v>1</v>
      </c>
      <c r="K3" s="5"/>
      <c r="L3" s="6"/>
      <c r="M3" s="6"/>
      <c r="N3" s="6"/>
      <c r="O3" s="6"/>
      <c r="P3" s="5" t="str">
        <f aca="false">IF(M3="","",ROUND(M3*IFERROR(INDEX(Weights!$B$2:$B$4,MATCH(G3,Weights!$A$2:$A$4,0)),0)*IFERROR(INDEX(Weights!$B$7:$B$11,MATCH(E3,Weights!$A$7:$A$11,0)),0)*IFERROR(INDEX(Weights!$B$14:$B$17,MATCH(TEXT(J3,"0"),Weights!$A$14:$A$17,0)),0)/(1+N(N3)/50),1))</f>
        <v/>
      </c>
      <c r="Q3" s="5" t="s">
        <v>42</v>
      </c>
    </row>
    <row r="4" customFormat="false" ht="15" hidden="false" customHeight="false" outlineLevel="0" collapsed="false">
      <c r="A4" s="5" t="n">
        <v>3</v>
      </c>
      <c r="B4" s="5" t="s">
        <v>45</v>
      </c>
      <c r="C4" s="5" t="s">
        <v>35</v>
      </c>
      <c r="D4" s="5" t="s">
        <v>36</v>
      </c>
      <c r="E4" s="5" t="s">
        <v>37</v>
      </c>
      <c r="F4" s="5" t="s">
        <v>38</v>
      </c>
      <c r="G4" s="5" t="s">
        <v>39</v>
      </c>
      <c r="H4" s="5" t="s">
        <v>40</v>
      </c>
      <c r="I4" s="5" t="s">
        <v>44</v>
      </c>
      <c r="J4" s="5" t="n">
        <v>1</v>
      </c>
      <c r="K4" s="5"/>
      <c r="L4" s="6"/>
      <c r="M4" s="6"/>
      <c r="N4" s="6"/>
      <c r="O4" s="6"/>
      <c r="P4" s="5" t="str">
        <f aca="false">IF(M4="","",ROUND(M4*IFERROR(INDEX(Weights!$B$2:$B$4,MATCH(G4,Weights!$A$2:$A$4,0)),0)*IFERROR(INDEX(Weights!$B$7:$B$11,MATCH(E4,Weights!$A$7:$A$11,0)),0)*IFERROR(INDEX(Weights!$B$14:$B$17,MATCH(TEXT(J4,"0"),Weights!$A$14:$A$17,0)),0)/(1+N(N4)/50),1))</f>
        <v/>
      </c>
      <c r="Q4" s="5" t="s">
        <v>42</v>
      </c>
    </row>
    <row r="5" customFormat="false" ht="15" hidden="false" customHeight="false" outlineLevel="0" collapsed="false">
      <c r="A5" s="5" t="n">
        <v>4</v>
      </c>
      <c r="B5" s="5" t="s">
        <v>46</v>
      </c>
      <c r="C5" s="5" t="s">
        <v>47</v>
      </c>
      <c r="D5" s="5" t="s">
        <v>36</v>
      </c>
      <c r="E5" s="5" t="s">
        <v>37</v>
      </c>
      <c r="F5" s="5" t="s">
        <v>38</v>
      </c>
      <c r="G5" s="5" t="s">
        <v>39</v>
      </c>
      <c r="H5" s="5" t="s">
        <v>40</v>
      </c>
      <c r="I5" s="5" t="s">
        <v>48</v>
      </c>
      <c r="J5" s="5" t="n">
        <v>1</v>
      </c>
      <c r="K5" s="5"/>
      <c r="L5" s="6"/>
      <c r="M5" s="6"/>
      <c r="N5" s="6"/>
      <c r="O5" s="6"/>
      <c r="P5" s="5" t="str">
        <f aca="false">IF(M5="","",ROUND(M5*IFERROR(INDEX(Weights!$B$2:$B$4,MATCH(G5,Weights!$A$2:$A$4,0)),0)*IFERROR(INDEX(Weights!$B$7:$B$11,MATCH(E5,Weights!$A$7:$A$11,0)),0)*IFERROR(INDEX(Weights!$B$14:$B$17,MATCH(TEXT(J5,"0"),Weights!$A$14:$A$17,0)),0)/(1+N(N5)/50),1))</f>
        <v/>
      </c>
      <c r="Q5" s="5" t="s">
        <v>42</v>
      </c>
    </row>
    <row r="6" customFormat="false" ht="15" hidden="false" customHeight="false" outlineLevel="0" collapsed="false">
      <c r="A6" s="5" t="n">
        <v>5</v>
      </c>
      <c r="B6" s="5" t="s">
        <v>49</v>
      </c>
      <c r="C6" s="5" t="s">
        <v>47</v>
      </c>
      <c r="D6" s="5" t="s">
        <v>36</v>
      </c>
      <c r="E6" s="5" t="s">
        <v>37</v>
      </c>
      <c r="F6" s="5" t="s">
        <v>38</v>
      </c>
      <c r="G6" s="5" t="s">
        <v>39</v>
      </c>
      <c r="H6" s="5" t="s">
        <v>40</v>
      </c>
      <c r="I6" s="5" t="s">
        <v>48</v>
      </c>
      <c r="J6" s="5" t="n">
        <v>1</v>
      </c>
      <c r="K6" s="5"/>
      <c r="L6" s="6"/>
      <c r="M6" s="6"/>
      <c r="N6" s="6"/>
      <c r="O6" s="6"/>
      <c r="P6" s="5" t="str">
        <f aca="false">IF(M6="","",ROUND(M6*IFERROR(INDEX(Weights!$B$2:$B$4,MATCH(G6,Weights!$A$2:$A$4,0)),0)*IFERROR(INDEX(Weights!$B$7:$B$11,MATCH(E6,Weights!$A$7:$A$11,0)),0)*IFERROR(INDEX(Weights!$B$14:$B$17,MATCH(TEXT(J6,"0"),Weights!$A$14:$A$17,0)),0)/(1+N(N6)/50),1))</f>
        <v/>
      </c>
      <c r="Q6" s="5" t="s">
        <v>42</v>
      </c>
    </row>
    <row r="7" customFormat="false" ht="15" hidden="false" customHeight="false" outlineLevel="0" collapsed="false">
      <c r="A7" s="5" t="n">
        <v>6</v>
      </c>
      <c r="B7" s="5" t="s">
        <v>50</v>
      </c>
      <c r="C7" s="5" t="s">
        <v>51</v>
      </c>
      <c r="D7" s="5" t="s">
        <v>36</v>
      </c>
      <c r="E7" s="5" t="s">
        <v>37</v>
      </c>
      <c r="F7" s="5" t="s">
        <v>38</v>
      </c>
      <c r="G7" s="5" t="s">
        <v>39</v>
      </c>
      <c r="H7" s="5" t="s">
        <v>40</v>
      </c>
      <c r="I7" s="5" t="s">
        <v>52</v>
      </c>
      <c r="J7" s="5" t="n">
        <v>1</v>
      </c>
      <c r="K7" s="5"/>
      <c r="L7" s="6"/>
      <c r="M7" s="6"/>
      <c r="N7" s="6"/>
      <c r="O7" s="6"/>
      <c r="P7" s="5" t="str">
        <f aca="false">IF(M7="","",ROUND(M7*IFERROR(INDEX(Weights!$B$2:$B$4,MATCH(G7,Weights!$A$2:$A$4,0)),0)*IFERROR(INDEX(Weights!$B$7:$B$11,MATCH(E7,Weights!$A$7:$A$11,0)),0)*IFERROR(INDEX(Weights!$B$14:$B$17,MATCH(TEXT(J7,"0"),Weights!$A$14:$A$17,0)),0)/(1+N(N7)/50),1))</f>
        <v/>
      </c>
      <c r="Q7" s="5" t="s">
        <v>42</v>
      </c>
    </row>
    <row r="8" customFormat="false" ht="15" hidden="false" customHeight="false" outlineLevel="0" collapsed="false">
      <c r="A8" s="5" t="n">
        <v>7</v>
      </c>
      <c r="B8" s="5" t="s">
        <v>53</v>
      </c>
      <c r="C8" s="5" t="s">
        <v>54</v>
      </c>
      <c r="D8" s="5" t="s">
        <v>36</v>
      </c>
      <c r="E8" s="5" t="s">
        <v>37</v>
      </c>
      <c r="F8" s="5" t="s">
        <v>38</v>
      </c>
      <c r="G8" s="5" t="s">
        <v>39</v>
      </c>
      <c r="H8" s="5" t="s">
        <v>40</v>
      </c>
      <c r="I8" s="5" t="s">
        <v>55</v>
      </c>
      <c r="J8" s="5" t="n">
        <v>1</v>
      </c>
      <c r="K8" s="5"/>
      <c r="L8" s="6"/>
      <c r="M8" s="6"/>
      <c r="N8" s="6"/>
      <c r="O8" s="6"/>
      <c r="P8" s="5" t="str">
        <f aca="false">IF(M8="","",ROUND(M8*IFERROR(INDEX(Weights!$B$2:$B$4,MATCH(G8,Weights!$A$2:$A$4,0)),0)*IFERROR(INDEX(Weights!$B$7:$B$11,MATCH(E8,Weights!$A$7:$A$11,0)),0)*IFERROR(INDEX(Weights!$B$14:$B$17,MATCH(TEXT(J8,"0"),Weights!$A$14:$A$17,0)),0)/(1+N(N8)/50),1))</f>
        <v/>
      </c>
      <c r="Q8" s="5" t="s">
        <v>42</v>
      </c>
    </row>
    <row r="9" customFormat="false" ht="15" hidden="false" customHeight="false" outlineLevel="0" collapsed="false">
      <c r="A9" s="5" t="n">
        <v>8</v>
      </c>
      <c r="B9" s="5" t="s">
        <v>56</v>
      </c>
      <c r="C9" s="5" t="s">
        <v>57</v>
      </c>
      <c r="D9" s="5" t="s">
        <v>36</v>
      </c>
      <c r="E9" s="5" t="s">
        <v>37</v>
      </c>
      <c r="F9" s="5" t="s">
        <v>38</v>
      </c>
      <c r="G9" s="5" t="s">
        <v>39</v>
      </c>
      <c r="H9" s="5" t="s">
        <v>40</v>
      </c>
      <c r="I9" s="5" t="s">
        <v>58</v>
      </c>
      <c r="J9" s="5" t="n">
        <v>1</v>
      </c>
      <c r="K9" s="5"/>
      <c r="L9" s="6"/>
      <c r="M9" s="6"/>
      <c r="N9" s="6"/>
      <c r="O9" s="6"/>
      <c r="P9" s="5" t="str">
        <f aca="false">IF(M9="","",ROUND(M9*IFERROR(INDEX(Weights!$B$2:$B$4,MATCH(G9,Weights!$A$2:$A$4,0)),0)*IFERROR(INDEX(Weights!$B$7:$B$11,MATCH(E9,Weights!$A$7:$A$11,0)),0)*IFERROR(INDEX(Weights!$B$14:$B$17,MATCH(TEXT(J9,"0"),Weights!$A$14:$A$17,0)),0)/(1+N(N9)/50),1))</f>
        <v/>
      </c>
      <c r="Q9" s="5" t="s">
        <v>42</v>
      </c>
    </row>
    <row r="10" customFormat="false" ht="15" hidden="false" customHeight="false" outlineLevel="0" collapsed="false">
      <c r="A10" s="5" t="n">
        <v>9</v>
      </c>
      <c r="B10" s="5" t="s">
        <v>59</v>
      </c>
      <c r="C10" s="5" t="s">
        <v>57</v>
      </c>
      <c r="D10" s="5" t="s">
        <v>36</v>
      </c>
      <c r="E10" s="5" t="s">
        <v>37</v>
      </c>
      <c r="F10" s="5" t="s">
        <v>38</v>
      </c>
      <c r="G10" s="5" t="s">
        <v>39</v>
      </c>
      <c r="H10" s="5" t="s">
        <v>40</v>
      </c>
      <c r="I10" s="5" t="s">
        <v>58</v>
      </c>
      <c r="J10" s="5" t="n">
        <v>1</v>
      </c>
      <c r="K10" s="5"/>
      <c r="L10" s="6"/>
      <c r="M10" s="6"/>
      <c r="N10" s="6"/>
      <c r="O10" s="6"/>
      <c r="P10" s="5" t="str">
        <f aca="false">IF(M10="","",ROUND(M10*IFERROR(INDEX(Weights!$B$2:$B$4,MATCH(G10,Weights!$A$2:$A$4,0)),0)*IFERROR(INDEX(Weights!$B$7:$B$11,MATCH(E10,Weights!$A$7:$A$11,0)),0)*IFERROR(INDEX(Weights!$B$14:$B$17,MATCH(TEXT(J10,"0"),Weights!$A$14:$A$17,0)),0)/(1+N(N10)/50),1))</f>
        <v/>
      </c>
      <c r="Q10" s="5" t="s">
        <v>42</v>
      </c>
    </row>
    <row r="11" customFormat="false" ht="15" hidden="false" customHeight="false" outlineLevel="0" collapsed="false">
      <c r="A11" s="5" t="n">
        <v>10</v>
      </c>
      <c r="B11" s="5" t="s">
        <v>60</v>
      </c>
      <c r="C11" s="5" t="s">
        <v>61</v>
      </c>
      <c r="D11" s="5" t="s">
        <v>36</v>
      </c>
      <c r="E11" s="5" t="s">
        <v>37</v>
      </c>
      <c r="F11" s="5" t="s">
        <v>38</v>
      </c>
      <c r="G11" s="5" t="s">
        <v>39</v>
      </c>
      <c r="H11" s="5" t="s">
        <v>40</v>
      </c>
      <c r="I11" s="5" t="s">
        <v>62</v>
      </c>
      <c r="J11" s="5" t="n">
        <v>2</v>
      </c>
      <c r="K11" s="5"/>
      <c r="L11" s="6"/>
      <c r="M11" s="6"/>
      <c r="N11" s="6"/>
      <c r="O11" s="6"/>
      <c r="P11" s="5" t="str">
        <f aca="false">IF(M11="","",ROUND(M11*IFERROR(INDEX(Weights!$B$2:$B$4,MATCH(G11,Weights!$A$2:$A$4,0)),0)*IFERROR(INDEX(Weights!$B$7:$B$11,MATCH(E11,Weights!$A$7:$A$11,0)),0)*IFERROR(INDEX(Weights!$B$14:$B$17,MATCH(TEXT(J11,"0"),Weights!$A$14:$A$17,0)),0)/(1+N(N11)/50),1))</f>
        <v/>
      </c>
      <c r="Q11" s="5" t="s">
        <v>42</v>
      </c>
    </row>
    <row r="12" customFormat="false" ht="15" hidden="false" customHeight="false" outlineLevel="0" collapsed="false">
      <c r="A12" s="5" t="n">
        <v>11</v>
      </c>
      <c r="B12" s="5" t="s">
        <v>63</v>
      </c>
      <c r="C12" s="5" t="s">
        <v>64</v>
      </c>
      <c r="D12" s="5" t="s">
        <v>36</v>
      </c>
      <c r="E12" s="5" t="s">
        <v>37</v>
      </c>
      <c r="F12" s="5" t="s">
        <v>38</v>
      </c>
      <c r="G12" s="5" t="s">
        <v>39</v>
      </c>
      <c r="H12" s="5" t="s">
        <v>40</v>
      </c>
      <c r="I12" s="5" t="s">
        <v>64</v>
      </c>
      <c r="J12" s="5" t="n">
        <v>2</v>
      </c>
      <c r="K12" s="5"/>
      <c r="L12" s="6"/>
      <c r="M12" s="6"/>
      <c r="N12" s="6"/>
      <c r="O12" s="6"/>
      <c r="P12" s="5" t="str">
        <f aca="false">IF(M12="","",ROUND(M12*IFERROR(INDEX(Weights!$B$2:$B$4,MATCH(G12,Weights!$A$2:$A$4,0)),0)*IFERROR(INDEX(Weights!$B$7:$B$11,MATCH(E12,Weights!$A$7:$A$11,0)),0)*IFERROR(INDEX(Weights!$B$14:$B$17,MATCH(TEXT(J12,"0"),Weights!$A$14:$A$17,0)),0)/(1+N(N12)/50),1))</f>
        <v/>
      </c>
      <c r="Q12" s="5" t="s">
        <v>42</v>
      </c>
    </row>
    <row r="13" customFormat="false" ht="15" hidden="false" customHeight="false" outlineLevel="0" collapsed="false">
      <c r="A13" s="5" t="n">
        <v>12</v>
      </c>
      <c r="B13" s="5" t="s">
        <v>65</v>
      </c>
      <c r="C13" s="5" t="s">
        <v>66</v>
      </c>
      <c r="D13" s="5" t="s">
        <v>36</v>
      </c>
      <c r="E13" s="5" t="s">
        <v>37</v>
      </c>
      <c r="F13" s="5" t="s">
        <v>38</v>
      </c>
      <c r="G13" s="5" t="s">
        <v>39</v>
      </c>
      <c r="H13" s="5" t="s">
        <v>40</v>
      </c>
      <c r="I13" s="5" t="s">
        <v>67</v>
      </c>
      <c r="J13" s="5" t="n">
        <v>3</v>
      </c>
      <c r="K13" s="5"/>
      <c r="L13" s="6"/>
      <c r="M13" s="6"/>
      <c r="N13" s="6"/>
      <c r="O13" s="6"/>
      <c r="P13" s="5" t="str">
        <f aca="false">IF(M13="","",ROUND(M13*IFERROR(INDEX(Weights!$B$2:$B$4,MATCH(G13,Weights!$A$2:$A$4,0)),0)*IFERROR(INDEX(Weights!$B$7:$B$11,MATCH(E13,Weights!$A$7:$A$11,0)),0)*IFERROR(INDEX(Weights!$B$14:$B$17,MATCH(TEXT(J13,"0"),Weights!$A$14:$A$17,0)),0)/(1+N(N13)/50),1))</f>
        <v/>
      </c>
      <c r="Q13" s="5" t="s">
        <v>42</v>
      </c>
    </row>
    <row r="14" customFormat="false" ht="15" hidden="false" customHeight="false" outlineLevel="0" collapsed="false">
      <c r="A14" s="5" t="n">
        <v>13</v>
      </c>
      <c r="B14" s="5" t="s">
        <v>68</v>
      </c>
      <c r="C14" s="5" t="s">
        <v>69</v>
      </c>
      <c r="D14" s="5" t="s">
        <v>36</v>
      </c>
      <c r="E14" s="5" t="s">
        <v>37</v>
      </c>
      <c r="F14" s="5" t="s">
        <v>38</v>
      </c>
      <c r="G14" s="5" t="s">
        <v>39</v>
      </c>
      <c r="H14" s="5" t="s">
        <v>40</v>
      </c>
      <c r="I14" s="5" t="s">
        <v>70</v>
      </c>
      <c r="J14" s="5" t="n">
        <v>3</v>
      </c>
      <c r="K14" s="5"/>
      <c r="L14" s="6"/>
      <c r="M14" s="6"/>
      <c r="N14" s="6"/>
      <c r="O14" s="6"/>
      <c r="P14" s="5" t="str">
        <f aca="false">IF(M14="","",ROUND(M14*IFERROR(INDEX(Weights!$B$2:$B$4,MATCH(G14,Weights!$A$2:$A$4,0)),0)*IFERROR(INDEX(Weights!$B$7:$B$11,MATCH(E14,Weights!$A$7:$A$11,0)),0)*IFERROR(INDEX(Weights!$B$14:$B$17,MATCH(TEXT(J14,"0"),Weights!$A$14:$A$17,0)),0)/(1+N(N14)/50),1))</f>
        <v/>
      </c>
      <c r="Q14" s="5" t="s">
        <v>42</v>
      </c>
    </row>
    <row r="15" customFormat="false" ht="15" hidden="false" customHeight="false" outlineLevel="0" collapsed="false">
      <c r="A15" s="5" t="n">
        <v>14</v>
      </c>
      <c r="B15" s="5" t="s">
        <v>71</v>
      </c>
      <c r="C15" s="5" t="s">
        <v>69</v>
      </c>
      <c r="D15" s="5" t="s">
        <v>36</v>
      </c>
      <c r="E15" s="5" t="s">
        <v>37</v>
      </c>
      <c r="F15" s="5" t="s">
        <v>38</v>
      </c>
      <c r="G15" s="5" t="s">
        <v>39</v>
      </c>
      <c r="H15" s="5" t="s">
        <v>40</v>
      </c>
      <c r="I15" s="5" t="s">
        <v>70</v>
      </c>
      <c r="J15" s="5" t="n">
        <v>3</v>
      </c>
      <c r="K15" s="5"/>
      <c r="L15" s="6"/>
      <c r="M15" s="6"/>
      <c r="N15" s="6"/>
      <c r="O15" s="6"/>
      <c r="P15" s="5" t="str">
        <f aca="false">IF(M15="","",ROUND(M15*IFERROR(INDEX(Weights!$B$2:$B$4,MATCH(G15,Weights!$A$2:$A$4,0)),0)*IFERROR(INDEX(Weights!$B$7:$B$11,MATCH(E15,Weights!$A$7:$A$11,0)),0)*IFERROR(INDEX(Weights!$B$14:$B$17,MATCH(TEXT(J15,"0"),Weights!$A$14:$A$17,0)),0)/(1+N(N15)/50),1))</f>
        <v/>
      </c>
      <c r="Q15" s="5" t="s">
        <v>42</v>
      </c>
    </row>
    <row r="16" customFormat="false" ht="15" hidden="false" customHeight="false" outlineLevel="0" collapsed="false">
      <c r="A16" s="5" t="n">
        <v>15</v>
      </c>
      <c r="B16" s="5" t="s">
        <v>72</v>
      </c>
      <c r="C16" s="5" t="s">
        <v>64</v>
      </c>
      <c r="D16" s="5" t="s">
        <v>36</v>
      </c>
      <c r="E16" s="5" t="s">
        <v>37</v>
      </c>
      <c r="F16" s="5" t="s">
        <v>38</v>
      </c>
      <c r="G16" s="5" t="s">
        <v>39</v>
      </c>
      <c r="H16" s="5" t="s">
        <v>40</v>
      </c>
      <c r="I16" s="5" t="s">
        <v>64</v>
      </c>
      <c r="J16" s="5" t="n">
        <v>2</v>
      </c>
      <c r="K16" s="5"/>
      <c r="L16" s="6"/>
      <c r="M16" s="6"/>
      <c r="N16" s="6"/>
      <c r="O16" s="6"/>
      <c r="P16" s="5" t="str">
        <f aca="false">IF(M16="","",ROUND(M16*IFERROR(INDEX(Weights!$B$2:$B$4,MATCH(G16,Weights!$A$2:$A$4,0)),0)*IFERROR(INDEX(Weights!$B$7:$B$11,MATCH(E16,Weights!$A$7:$A$11,0)),0)*IFERROR(INDEX(Weights!$B$14:$B$17,MATCH(TEXT(J16,"0"),Weights!$A$14:$A$17,0)),0)/(1+N(N16)/50),1))</f>
        <v/>
      </c>
      <c r="Q16" s="5" t="s">
        <v>42</v>
      </c>
    </row>
    <row r="17" customFormat="false" ht="15" hidden="false" customHeight="false" outlineLevel="0" collapsed="false">
      <c r="A17" s="5" t="n">
        <v>16</v>
      </c>
      <c r="B17" s="5" t="s">
        <v>73</v>
      </c>
      <c r="C17" s="5" t="s">
        <v>74</v>
      </c>
      <c r="D17" s="5" t="s">
        <v>36</v>
      </c>
      <c r="E17" s="5" t="s">
        <v>37</v>
      </c>
      <c r="F17" s="5" t="s">
        <v>38</v>
      </c>
      <c r="G17" s="5" t="s">
        <v>39</v>
      </c>
      <c r="H17" s="5" t="s">
        <v>40</v>
      </c>
      <c r="I17" s="5" t="s">
        <v>75</v>
      </c>
      <c r="J17" s="5" t="n">
        <v>2</v>
      </c>
      <c r="K17" s="5"/>
      <c r="L17" s="6"/>
      <c r="M17" s="6"/>
      <c r="N17" s="6"/>
      <c r="O17" s="6"/>
      <c r="P17" s="5" t="str">
        <f aca="false">IF(M17="","",ROUND(M17*IFERROR(INDEX(Weights!$B$2:$B$4,MATCH(G17,Weights!$A$2:$A$4,0)),0)*IFERROR(INDEX(Weights!$B$7:$B$11,MATCH(E17,Weights!$A$7:$A$11,0)),0)*IFERROR(INDEX(Weights!$B$14:$B$17,MATCH(TEXT(J17,"0"),Weights!$A$14:$A$17,0)),0)/(1+N(N17)/50),1))</f>
        <v/>
      </c>
      <c r="Q17" s="5" t="s">
        <v>42</v>
      </c>
    </row>
    <row r="18" customFormat="false" ht="15" hidden="false" customHeight="false" outlineLevel="0" collapsed="false">
      <c r="A18" s="5" t="n">
        <v>17</v>
      </c>
      <c r="B18" s="5" t="s">
        <v>76</v>
      </c>
      <c r="C18" s="5" t="s">
        <v>74</v>
      </c>
      <c r="D18" s="5" t="s">
        <v>36</v>
      </c>
      <c r="E18" s="5" t="s">
        <v>37</v>
      </c>
      <c r="F18" s="5" t="s">
        <v>38</v>
      </c>
      <c r="G18" s="5" t="s">
        <v>39</v>
      </c>
      <c r="H18" s="5" t="s">
        <v>40</v>
      </c>
      <c r="I18" s="5" t="s">
        <v>75</v>
      </c>
      <c r="J18" s="5" t="n">
        <v>2</v>
      </c>
      <c r="K18" s="5"/>
      <c r="L18" s="6"/>
      <c r="M18" s="6"/>
      <c r="N18" s="6"/>
      <c r="O18" s="6"/>
      <c r="P18" s="5" t="str">
        <f aca="false">IF(M18="","",ROUND(M18*IFERROR(INDEX(Weights!$B$2:$B$4,MATCH(G18,Weights!$A$2:$A$4,0)),0)*IFERROR(INDEX(Weights!$B$7:$B$11,MATCH(E18,Weights!$A$7:$A$11,0)),0)*IFERROR(INDEX(Weights!$B$14:$B$17,MATCH(TEXT(J18,"0"),Weights!$A$14:$A$17,0)),0)/(1+N(N18)/50),1))</f>
        <v/>
      </c>
      <c r="Q18" s="5" t="s">
        <v>42</v>
      </c>
    </row>
    <row r="19" customFormat="false" ht="15" hidden="false" customHeight="false" outlineLevel="0" collapsed="false">
      <c r="A19" s="5" t="n">
        <v>18</v>
      </c>
      <c r="B19" s="5" t="s">
        <v>77</v>
      </c>
      <c r="C19" s="5" t="s">
        <v>78</v>
      </c>
      <c r="D19" s="5" t="s">
        <v>36</v>
      </c>
      <c r="E19" s="5" t="s">
        <v>37</v>
      </c>
      <c r="F19" s="5" t="s">
        <v>38</v>
      </c>
      <c r="G19" s="5" t="s">
        <v>39</v>
      </c>
      <c r="H19" s="5" t="s">
        <v>40</v>
      </c>
      <c r="I19" s="5" t="s">
        <v>79</v>
      </c>
      <c r="J19" s="5" t="n">
        <v>2</v>
      </c>
      <c r="K19" s="5"/>
      <c r="L19" s="6"/>
      <c r="M19" s="6"/>
      <c r="N19" s="6"/>
      <c r="O19" s="6"/>
      <c r="P19" s="5" t="str">
        <f aca="false">IF(M19="","",ROUND(M19*IFERROR(INDEX(Weights!$B$2:$B$4,MATCH(G19,Weights!$A$2:$A$4,0)),0)*IFERROR(INDEX(Weights!$B$7:$B$11,MATCH(E19,Weights!$A$7:$A$11,0)),0)*IFERROR(INDEX(Weights!$B$14:$B$17,MATCH(TEXT(J19,"0"),Weights!$A$14:$A$17,0)),0)/(1+N(N19)/50),1))</f>
        <v/>
      </c>
      <c r="Q19" s="5" t="s">
        <v>42</v>
      </c>
    </row>
    <row r="20" customFormat="false" ht="15" hidden="false" customHeight="false" outlineLevel="0" collapsed="false">
      <c r="A20" s="5" t="n">
        <v>19</v>
      </c>
      <c r="B20" s="5" t="s">
        <v>80</v>
      </c>
      <c r="C20" s="5" t="s">
        <v>35</v>
      </c>
      <c r="D20" s="5" t="s">
        <v>36</v>
      </c>
      <c r="E20" s="5" t="s">
        <v>37</v>
      </c>
      <c r="F20" s="5" t="s">
        <v>81</v>
      </c>
      <c r="G20" s="5" t="s">
        <v>39</v>
      </c>
      <c r="H20" s="5" t="s">
        <v>40</v>
      </c>
      <c r="I20" s="5" t="s">
        <v>41</v>
      </c>
      <c r="J20" s="5" t="n">
        <v>1</v>
      </c>
      <c r="K20" s="5"/>
      <c r="L20" s="6"/>
      <c r="M20" s="6"/>
      <c r="N20" s="6"/>
      <c r="O20" s="6"/>
      <c r="P20" s="5" t="str">
        <f aca="false">IF(M20="","",ROUND(M20*IFERROR(INDEX(Weights!$B$2:$B$4,MATCH(G20,Weights!$A$2:$A$4,0)),0)*IFERROR(INDEX(Weights!$B$7:$B$11,MATCH(E20,Weights!$A$7:$A$11,0)),0)*IFERROR(INDEX(Weights!$B$14:$B$17,MATCH(TEXT(J20,"0"),Weights!$A$14:$A$17,0)),0)/(1+N(N20)/50),1))</f>
        <v/>
      </c>
      <c r="Q20" s="5" t="s">
        <v>42</v>
      </c>
    </row>
    <row r="21" customFormat="false" ht="15" hidden="false" customHeight="false" outlineLevel="0" collapsed="false">
      <c r="A21" s="5" t="n">
        <v>20</v>
      </c>
      <c r="B21" s="5" t="s">
        <v>82</v>
      </c>
      <c r="C21" s="5" t="s">
        <v>35</v>
      </c>
      <c r="D21" s="5" t="s">
        <v>36</v>
      </c>
      <c r="E21" s="5" t="s">
        <v>37</v>
      </c>
      <c r="F21" s="5" t="s">
        <v>81</v>
      </c>
      <c r="G21" s="5" t="s">
        <v>39</v>
      </c>
      <c r="H21" s="5" t="s">
        <v>40</v>
      </c>
      <c r="I21" s="5" t="s">
        <v>44</v>
      </c>
      <c r="J21" s="5" t="n">
        <v>1</v>
      </c>
      <c r="K21" s="5"/>
      <c r="L21" s="6"/>
      <c r="M21" s="6"/>
      <c r="N21" s="6"/>
      <c r="O21" s="6"/>
      <c r="P21" s="5" t="str">
        <f aca="false">IF(M21="","",ROUND(M21*IFERROR(INDEX(Weights!$B$2:$B$4,MATCH(G21,Weights!$A$2:$A$4,0)),0)*IFERROR(INDEX(Weights!$B$7:$B$11,MATCH(E21,Weights!$A$7:$A$11,0)),0)*IFERROR(INDEX(Weights!$B$14:$B$17,MATCH(TEXT(J21,"0"),Weights!$A$14:$A$17,0)),0)/(1+N(N21)/50),1))</f>
        <v/>
      </c>
      <c r="Q21" s="5" t="s">
        <v>42</v>
      </c>
    </row>
    <row r="22" customFormat="false" ht="15" hidden="false" customHeight="false" outlineLevel="0" collapsed="false">
      <c r="A22" s="5" t="n">
        <v>21</v>
      </c>
      <c r="B22" s="5" t="s">
        <v>83</v>
      </c>
      <c r="C22" s="5" t="s">
        <v>35</v>
      </c>
      <c r="D22" s="5" t="s">
        <v>36</v>
      </c>
      <c r="E22" s="5" t="s">
        <v>37</v>
      </c>
      <c r="F22" s="5" t="s">
        <v>81</v>
      </c>
      <c r="G22" s="5" t="s">
        <v>39</v>
      </c>
      <c r="H22" s="5" t="s">
        <v>40</v>
      </c>
      <c r="I22" s="5" t="s">
        <v>44</v>
      </c>
      <c r="J22" s="5" t="n">
        <v>1</v>
      </c>
      <c r="K22" s="5"/>
      <c r="L22" s="6"/>
      <c r="M22" s="6"/>
      <c r="N22" s="6"/>
      <c r="O22" s="6"/>
      <c r="P22" s="5" t="str">
        <f aca="false">IF(M22="","",ROUND(M22*IFERROR(INDEX(Weights!$B$2:$B$4,MATCH(G22,Weights!$A$2:$A$4,0)),0)*IFERROR(INDEX(Weights!$B$7:$B$11,MATCH(E22,Weights!$A$7:$A$11,0)),0)*IFERROR(INDEX(Weights!$B$14:$B$17,MATCH(TEXT(J22,"0"),Weights!$A$14:$A$17,0)),0)/(1+N(N22)/50),1))</f>
        <v/>
      </c>
      <c r="Q22" s="5" t="s">
        <v>42</v>
      </c>
    </row>
    <row r="23" customFormat="false" ht="15" hidden="false" customHeight="false" outlineLevel="0" collapsed="false">
      <c r="A23" s="5" t="n">
        <v>22</v>
      </c>
      <c r="B23" s="5" t="s">
        <v>84</v>
      </c>
      <c r="C23" s="5" t="s">
        <v>47</v>
      </c>
      <c r="D23" s="5" t="s">
        <v>36</v>
      </c>
      <c r="E23" s="5" t="s">
        <v>37</v>
      </c>
      <c r="F23" s="5" t="s">
        <v>81</v>
      </c>
      <c r="G23" s="5" t="s">
        <v>39</v>
      </c>
      <c r="H23" s="5" t="s">
        <v>40</v>
      </c>
      <c r="I23" s="5" t="s">
        <v>48</v>
      </c>
      <c r="J23" s="5" t="n">
        <v>1</v>
      </c>
      <c r="K23" s="5"/>
      <c r="L23" s="6"/>
      <c r="M23" s="6"/>
      <c r="N23" s="6"/>
      <c r="O23" s="6"/>
      <c r="P23" s="5" t="str">
        <f aca="false">IF(M23="","",ROUND(M23*IFERROR(INDEX(Weights!$B$2:$B$4,MATCH(G23,Weights!$A$2:$A$4,0)),0)*IFERROR(INDEX(Weights!$B$7:$B$11,MATCH(E23,Weights!$A$7:$A$11,0)),0)*IFERROR(INDEX(Weights!$B$14:$B$17,MATCH(TEXT(J23,"0"),Weights!$A$14:$A$17,0)),0)/(1+N(N23)/50),1))</f>
        <v/>
      </c>
      <c r="Q23" s="5" t="s">
        <v>42</v>
      </c>
    </row>
    <row r="24" customFormat="false" ht="15" hidden="false" customHeight="false" outlineLevel="0" collapsed="false">
      <c r="A24" s="5" t="n">
        <v>23</v>
      </c>
      <c r="B24" s="5" t="s">
        <v>85</v>
      </c>
      <c r="C24" s="5" t="s">
        <v>47</v>
      </c>
      <c r="D24" s="5" t="s">
        <v>36</v>
      </c>
      <c r="E24" s="5" t="s">
        <v>37</v>
      </c>
      <c r="F24" s="5" t="s">
        <v>81</v>
      </c>
      <c r="G24" s="5" t="s">
        <v>39</v>
      </c>
      <c r="H24" s="5" t="s">
        <v>40</v>
      </c>
      <c r="I24" s="5" t="s">
        <v>48</v>
      </c>
      <c r="J24" s="5" t="n">
        <v>1</v>
      </c>
      <c r="K24" s="5"/>
      <c r="L24" s="6"/>
      <c r="M24" s="6"/>
      <c r="N24" s="6"/>
      <c r="O24" s="6"/>
      <c r="P24" s="5" t="str">
        <f aca="false">IF(M24="","",ROUND(M24*IFERROR(INDEX(Weights!$B$2:$B$4,MATCH(G24,Weights!$A$2:$A$4,0)),0)*IFERROR(INDEX(Weights!$B$7:$B$11,MATCH(E24,Weights!$A$7:$A$11,0)),0)*IFERROR(INDEX(Weights!$B$14:$B$17,MATCH(TEXT(J24,"0"),Weights!$A$14:$A$17,0)),0)/(1+N(N24)/50),1))</f>
        <v/>
      </c>
      <c r="Q24" s="5" t="s">
        <v>42</v>
      </c>
    </row>
    <row r="25" customFormat="false" ht="15" hidden="false" customHeight="false" outlineLevel="0" collapsed="false">
      <c r="A25" s="5" t="n">
        <v>24</v>
      </c>
      <c r="B25" s="5" t="s">
        <v>86</v>
      </c>
      <c r="C25" s="5" t="s">
        <v>51</v>
      </c>
      <c r="D25" s="5" t="s">
        <v>36</v>
      </c>
      <c r="E25" s="5" t="s">
        <v>37</v>
      </c>
      <c r="F25" s="5" t="s">
        <v>81</v>
      </c>
      <c r="G25" s="5" t="s">
        <v>39</v>
      </c>
      <c r="H25" s="5" t="s">
        <v>40</v>
      </c>
      <c r="I25" s="5" t="s">
        <v>52</v>
      </c>
      <c r="J25" s="5" t="n">
        <v>1</v>
      </c>
      <c r="K25" s="5"/>
      <c r="L25" s="6"/>
      <c r="M25" s="6"/>
      <c r="N25" s="6"/>
      <c r="O25" s="6"/>
      <c r="P25" s="5" t="str">
        <f aca="false">IF(M25="","",ROUND(M25*IFERROR(INDEX(Weights!$B$2:$B$4,MATCH(G25,Weights!$A$2:$A$4,0)),0)*IFERROR(INDEX(Weights!$B$7:$B$11,MATCH(E25,Weights!$A$7:$A$11,0)),0)*IFERROR(INDEX(Weights!$B$14:$B$17,MATCH(TEXT(J25,"0"),Weights!$A$14:$A$17,0)),0)/(1+N(N25)/50),1))</f>
        <v/>
      </c>
      <c r="Q25" s="5" t="s">
        <v>42</v>
      </c>
    </row>
    <row r="26" customFormat="false" ht="15" hidden="false" customHeight="false" outlineLevel="0" collapsed="false">
      <c r="A26" s="5" t="n">
        <v>25</v>
      </c>
      <c r="B26" s="5" t="s">
        <v>87</v>
      </c>
      <c r="C26" s="5" t="s">
        <v>54</v>
      </c>
      <c r="D26" s="5" t="s">
        <v>36</v>
      </c>
      <c r="E26" s="5" t="s">
        <v>37</v>
      </c>
      <c r="F26" s="5" t="s">
        <v>81</v>
      </c>
      <c r="G26" s="5" t="s">
        <v>39</v>
      </c>
      <c r="H26" s="5" t="s">
        <v>40</v>
      </c>
      <c r="I26" s="5" t="s">
        <v>55</v>
      </c>
      <c r="J26" s="5" t="n">
        <v>1</v>
      </c>
      <c r="K26" s="5"/>
      <c r="L26" s="6"/>
      <c r="M26" s="6"/>
      <c r="N26" s="6"/>
      <c r="O26" s="6"/>
      <c r="P26" s="5" t="str">
        <f aca="false">IF(M26="","",ROUND(M26*IFERROR(INDEX(Weights!$B$2:$B$4,MATCH(G26,Weights!$A$2:$A$4,0)),0)*IFERROR(INDEX(Weights!$B$7:$B$11,MATCH(E26,Weights!$A$7:$A$11,0)),0)*IFERROR(INDEX(Weights!$B$14:$B$17,MATCH(TEXT(J26,"0"),Weights!$A$14:$A$17,0)),0)/(1+N(N26)/50),1))</f>
        <v/>
      </c>
      <c r="Q26" s="5" t="s">
        <v>42</v>
      </c>
    </row>
    <row r="27" customFormat="false" ht="15" hidden="false" customHeight="false" outlineLevel="0" collapsed="false">
      <c r="A27" s="5" t="n">
        <v>26</v>
      </c>
      <c r="B27" s="5" t="s">
        <v>88</v>
      </c>
      <c r="C27" s="5" t="s">
        <v>57</v>
      </c>
      <c r="D27" s="5" t="s">
        <v>36</v>
      </c>
      <c r="E27" s="5" t="s">
        <v>37</v>
      </c>
      <c r="F27" s="5" t="s">
        <v>81</v>
      </c>
      <c r="G27" s="5" t="s">
        <v>39</v>
      </c>
      <c r="H27" s="5" t="s">
        <v>40</v>
      </c>
      <c r="I27" s="5" t="s">
        <v>58</v>
      </c>
      <c r="J27" s="5" t="n">
        <v>1</v>
      </c>
      <c r="K27" s="5"/>
      <c r="L27" s="6"/>
      <c r="M27" s="6"/>
      <c r="N27" s="6"/>
      <c r="O27" s="6"/>
      <c r="P27" s="5" t="str">
        <f aca="false">IF(M27="","",ROUND(M27*IFERROR(INDEX(Weights!$B$2:$B$4,MATCH(G27,Weights!$A$2:$A$4,0)),0)*IFERROR(INDEX(Weights!$B$7:$B$11,MATCH(E27,Weights!$A$7:$A$11,0)),0)*IFERROR(INDEX(Weights!$B$14:$B$17,MATCH(TEXT(J27,"0"),Weights!$A$14:$A$17,0)),0)/(1+N(N27)/50),1))</f>
        <v/>
      </c>
      <c r="Q27" s="5" t="s">
        <v>42</v>
      </c>
    </row>
    <row r="28" customFormat="false" ht="15" hidden="false" customHeight="false" outlineLevel="0" collapsed="false">
      <c r="A28" s="5" t="n">
        <v>27</v>
      </c>
      <c r="B28" s="5" t="s">
        <v>89</v>
      </c>
      <c r="C28" s="5" t="s">
        <v>57</v>
      </c>
      <c r="D28" s="5" t="s">
        <v>36</v>
      </c>
      <c r="E28" s="5" t="s">
        <v>37</v>
      </c>
      <c r="F28" s="5" t="s">
        <v>81</v>
      </c>
      <c r="G28" s="5" t="s">
        <v>39</v>
      </c>
      <c r="H28" s="5" t="s">
        <v>40</v>
      </c>
      <c r="I28" s="5" t="s">
        <v>58</v>
      </c>
      <c r="J28" s="5" t="n">
        <v>1</v>
      </c>
      <c r="K28" s="5"/>
      <c r="L28" s="6"/>
      <c r="M28" s="6"/>
      <c r="N28" s="6"/>
      <c r="O28" s="6"/>
      <c r="P28" s="5" t="str">
        <f aca="false">IF(M28="","",ROUND(M28*IFERROR(INDEX(Weights!$B$2:$B$4,MATCH(G28,Weights!$A$2:$A$4,0)),0)*IFERROR(INDEX(Weights!$B$7:$B$11,MATCH(E28,Weights!$A$7:$A$11,0)),0)*IFERROR(INDEX(Weights!$B$14:$B$17,MATCH(TEXT(J28,"0"),Weights!$A$14:$A$17,0)),0)/(1+N(N28)/50),1))</f>
        <v/>
      </c>
      <c r="Q28" s="5" t="s">
        <v>42</v>
      </c>
    </row>
    <row r="29" customFormat="false" ht="15" hidden="false" customHeight="false" outlineLevel="0" collapsed="false">
      <c r="A29" s="5" t="n">
        <v>28</v>
      </c>
      <c r="B29" s="5" t="s">
        <v>90</v>
      </c>
      <c r="C29" s="5" t="s">
        <v>61</v>
      </c>
      <c r="D29" s="5" t="s">
        <v>36</v>
      </c>
      <c r="E29" s="5" t="s">
        <v>37</v>
      </c>
      <c r="F29" s="5" t="s">
        <v>81</v>
      </c>
      <c r="G29" s="5" t="s">
        <v>39</v>
      </c>
      <c r="H29" s="5" t="s">
        <v>40</v>
      </c>
      <c r="I29" s="5" t="s">
        <v>62</v>
      </c>
      <c r="J29" s="5" t="n">
        <v>2</v>
      </c>
      <c r="K29" s="5"/>
      <c r="L29" s="6"/>
      <c r="M29" s="6"/>
      <c r="N29" s="6"/>
      <c r="O29" s="6"/>
      <c r="P29" s="5" t="str">
        <f aca="false">IF(M29="","",ROUND(M29*IFERROR(INDEX(Weights!$B$2:$B$4,MATCH(G29,Weights!$A$2:$A$4,0)),0)*IFERROR(INDEX(Weights!$B$7:$B$11,MATCH(E29,Weights!$A$7:$A$11,0)),0)*IFERROR(INDEX(Weights!$B$14:$B$17,MATCH(TEXT(J29,"0"),Weights!$A$14:$A$17,0)),0)/(1+N(N29)/50),1))</f>
        <v/>
      </c>
      <c r="Q29" s="5" t="s">
        <v>42</v>
      </c>
    </row>
    <row r="30" customFormat="false" ht="15" hidden="false" customHeight="false" outlineLevel="0" collapsed="false">
      <c r="A30" s="5" t="n">
        <v>29</v>
      </c>
      <c r="B30" s="5" t="s">
        <v>91</v>
      </c>
      <c r="C30" s="5" t="s">
        <v>64</v>
      </c>
      <c r="D30" s="5" t="s">
        <v>36</v>
      </c>
      <c r="E30" s="5" t="s">
        <v>37</v>
      </c>
      <c r="F30" s="5" t="s">
        <v>81</v>
      </c>
      <c r="G30" s="5" t="s">
        <v>39</v>
      </c>
      <c r="H30" s="5" t="s">
        <v>40</v>
      </c>
      <c r="I30" s="5" t="s">
        <v>64</v>
      </c>
      <c r="J30" s="5" t="n">
        <v>2</v>
      </c>
      <c r="K30" s="5"/>
      <c r="L30" s="6"/>
      <c r="M30" s="6"/>
      <c r="N30" s="6"/>
      <c r="O30" s="6"/>
      <c r="P30" s="5" t="str">
        <f aca="false">IF(M30="","",ROUND(M30*IFERROR(INDEX(Weights!$B$2:$B$4,MATCH(G30,Weights!$A$2:$A$4,0)),0)*IFERROR(INDEX(Weights!$B$7:$B$11,MATCH(E30,Weights!$A$7:$A$11,0)),0)*IFERROR(INDEX(Weights!$B$14:$B$17,MATCH(TEXT(J30,"0"),Weights!$A$14:$A$17,0)),0)/(1+N(N30)/50),1))</f>
        <v/>
      </c>
      <c r="Q30" s="5" t="s">
        <v>42</v>
      </c>
    </row>
    <row r="31" customFormat="false" ht="15" hidden="false" customHeight="false" outlineLevel="0" collapsed="false">
      <c r="A31" s="5" t="n">
        <v>30</v>
      </c>
      <c r="B31" s="5" t="s">
        <v>92</v>
      </c>
      <c r="C31" s="5" t="s">
        <v>66</v>
      </c>
      <c r="D31" s="5" t="s">
        <v>36</v>
      </c>
      <c r="E31" s="5" t="s">
        <v>37</v>
      </c>
      <c r="F31" s="5" t="s">
        <v>81</v>
      </c>
      <c r="G31" s="5" t="s">
        <v>39</v>
      </c>
      <c r="H31" s="5" t="s">
        <v>40</v>
      </c>
      <c r="I31" s="5" t="s">
        <v>67</v>
      </c>
      <c r="J31" s="5" t="n">
        <v>3</v>
      </c>
      <c r="K31" s="5"/>
      <c r="L31" s="6"/>
      <c r="M31" s="6"/>
      <c r="N31" s="6"/>
      <c r="O31" s="6"/>
      <c r="P31" s="5" t="str">
        <f aca="false">IF(M31="","",ROUND(M31*IFERROR(INDEX(Weights!$B$2:$B$4,MATCH(G31,Weights!$A$2:$A$4,0)),0)*IFERROR(INDEX(Weights!$B$7:$B$11,MATCH(E31,Weights!$A$7:$A$11,0)),0)*IFERROR(INDEX(Weights!$B$14:$B$17,MATCH(TEXT(J31,"0"),Weights!$A$14:$A$17,0)),0)/(1+N(N31)/50),1))</f>
        <v/>
      </c>
      <c r="Q31" s="5" t="s">
        <v>42</v>
      </c>
    </row>
    <row r="32" customFormat="false" ht="15" hidden="false" customHeight="false" outlineLevel="0" collapsed="false">
      <c r="A32" s="5" t="n">
        <v>31</v>
      </c>
      <c r="B32" s="5" t="s">
        <v>93</v>
      </c>
      <c r="C32" s="5" t="s">
        <v>69</v>
      </c>
      <c r="D32" s="5" t="s">
        <v>36</v>
      </c>
      <c r="E32" s="5" t="s">
        <v>37</v>
      </c>
      <c r="F32" s="5" t="s">
        <v>81</v>
      </c>
      <c r="G32" s="5" t="s">
        <v>39</v>
      </c>
      <c r="H32" s="5" t="s">
        <v>40</v>
      </c>
      <c r="I32" s="5" t="s">
        <v>70</v>
      </c>
      <c r="J32" s="5" t="n">
        <v>3</v>
      </c>
      <c r="K32" s="5"/>
      <c r="L32" s="6"/>
      <c r="M32" s="6"/>
      <c r="N32" s="6"/>
      <c r="O32" s="6"/>
      <c r="P32" s="5" t="str">
        <f aca="false">IF(M32="","",ROUND(M32*IFERROR(INDEX(Weights!$B$2:$B$4,MATCH(G32,Weights!$A$2:$A$4,0)),0)*IFERROR(INDEX(Weights!$B$7:$B$11,MATCH(E32,Weights!$A$7:$A$11,0)),0)*IFERROR(INDEX(Weights!$B$14:$B$17,MATCH(TEXT(J32,"0"),Weights!$A$14:$A$17,0)),0)/(1+N(N32)/50),1))</f>
        <v/>
      </c>
      <c r="Q32" s="5" t="s">
        <v>42</v>
      </c>
    </row>
    <row r="33" customFormat="false" ht="15" hidden="false" customHeight="false" outlineLevel="0" collapsed="false">
      <c r="A33" s="5" t="n">
        <v>32</v>
      </c>
      <c r="B33" s="5" t="s">
        <v>94</v>
      </c>
      <c r="C33" s="5" t="s">
        <v>69</v>
      </c>
      <c r="D33" s="5" t="s">
        <v>36</v>
      </c>
      <c r="E33" s="5" t="s">
        <v>37</v>
      </c>
      <c r="F33" s="5" t="s">
        <v>81</v>
      </c>
      <c r="G33" s="5" t="s">
        <v>39</v>
      </c>
      <c r="H33" s="5" t="s">
        <v>40</v>
      </c>
      <c r="I33" s="5" t="s">
        <v>70</v>
      </c>
      <c r="J33" s="5" t="n">
        <v>3</v>
      </c>
      <c r="K33" s="5"/>
      <c r="L33" s="6"/>
      <c r="M33" s="6"/>
      <c r="N33" s="6"/>
      <c r="O33" s="6"/>
      <c r="P33" s="5" t="str">
        <f aca="false">IF(M33="","",ROUND(M33*IFERROR(INDEX(Weights!$B$2:$B$4,MATCH(G33,Weights!$A$2:$A$4,0)),0)*IFERROR(INDEX(Weights!$B$7:$B$11,MATCH(E33,Weights!$A$7:$A$11,0)),0)*IFERROR(INDEX(Weights!$B$14:$B$17,MATCH(TEXT(J33,"0"),Weights!$A$14:$A$17,0)),0)/(1+N(N33)/50),1))</f>
        <v/>
      </c>
      <c r="Q33" s="5" t="s">
        <v>42</v>
      </c>
    </row>
    <row r="34" customFormat="false" ht="15" hidden="false" customHeight="false" outlineLevel="0" collapsed="false">
      <c r="A34" s="5" t="n">
        <v>33</v>
      </c>
      <c r="B34" s="5" t="s">
        <v>95</v>
      </c>
      <c r="C34" s="5" t="s">
        <v>64</v>
      </c>
      <c r="D34" s="5" t="s">
        <v>36</v>
      </c>
      <c r="E34" s="5" t="s">
        <v>37</v>
      </c>
      <c r="F34" s="5" t="s">
        <v>81</v>
      </c>
      <c r="G34" s="5" t="s">
        <v>39</v>
      </c>
      <c r="H34" s="5" t="s">
        <v>40</v>
      </c>
      <c r="I34" s="5" t="s">
        <v>64</v>
      </c>
      <c r="J34" s="5" t="n">
        <v>2</v>
      </c>
      <c r="K34" s="5"/>
      <c r="L34" s="6"/>
      <c r="M34" s="6"/>
      <c r="N34" s="6"/>
      <c r="O34" s="6"/>
      <c r="P34" s="5" t="str">
        <f aca="false">IF(M34="","",ROUND(M34*IFERROR(INDEX(Weights!$B$2:$B$4,MATCH(G34,Weights!$A$2:$A$4,0)),0)*IFERROR(INDEX(Weights!$B$7:$B$11,MATCH(E34,Weights!$A$7:$A$11,0)),0)*IFERROR(INDEX(Weights!$B$14:$B$17,MATCH(TEXT(J34,"0"),Weights!$A$14:$A$17,0)),0)/(1+N(N34)/50),1))</f>
        <v/>
      </c>
      <c r="Q34" s="5" t="s">
        <v>42</v>
      </c>
    </row>
    <row r="35" customFormat="false" ht="15" hidden="false" customHeight="false" outlineLevel="0" collapsed="false">
      <c r="A35" s="5" t="n">
        <v>34</v>
      </c>
      <c r="B35" s="5" t="s">
        <v>96</v>
      </c>
      <c r="C35" s="5" t="s">
        <v>74</v>
      </c>
      <c r="D35" s="5" t="s">
        <v>36</v>
      </c>
      <c r="E35" s="5" t="s">
        <v>37</v>
      </c>
      <c r="F35" s="5" t="s">
        <v>81</v>
      </c>
      <c r="G35" s="5" t="s">
        <v>39</v>
      </c>
      <c r="H35" s="5" t="s">
        <v>40</v>
      </c>
      <c r="I35" s="5" t="s">
        <v>75</v>
      </c>
      <c r="J35" s="5" t="n">
        <v>2</v>
      </c>
      <c r="K35" s="5"/>
      <c r="L35" s="6"/>
      <c r="M35" s="6"/>
      <c r="N35" s="6"/>
      <c r="O35" s="6"/>
      <c r="P35" s="5" t="str">
        <f aca="false">IF(M35="","",ROUND(M35*IFERROR(INDEX(Weights!$B$2:$B$4,MATCH(G35,Weights!$A$2:$A$4,0)),0)*IFERROR(INDEX(Weights!$B$7:$B$11,MATCH(E35,Weights!$A$7:$A$11,0)),0)*IFERROR(INDEX(Weights!$B$14:$B$17,MATCH(TEXT(J35,"0"),Weights!$A$14:$A$17,0)),0)/(1+N(N35)/50),1))</f>
        <v/>
      </c>
      <c r="Q35" s="5" t="s">
        <v>42</v>
      </c>
    </row>
    <row r="36" customFormat="false" ht="15" hidden="false" customHeight="false" outlineLevel="0" collapsed="false">
      <c r="A36" s="5" t="n">
        <v>35</v>
      </c>
      <c r="B36" s="5" t="s">
        <v>97</v>
      </c>
      <c r="C36" s="5" t="s">
        <v>74</v>
      </c>
      <c r="D36" s="5" t="s">
        <v>36</v>
      </c>
      <c r="E36" s="5" t="s">
        <v>37</v>
      </c>
      <c r="F36" s="5" t="s">
        <v>81</v>
      </c>
      <c r="G36" s="5" t="s">
        <v>39</v>
      </c>
      <c r="H36" s="5" t="s">
        <v>40</v>
      </c>
      <c r="I36" s="5" t="s">
        <v>75</v>
      </c>
      <c r="J36" s="5" t="n">
        <v>2</v>
      </c>
      <c r="K36" s="5"/>
      <c r="L36" s="6"/>
      <c r="M36" s="6"/>
      <c r="N36" s="6"/>
      <c r="O36" s="6"/>
      <c r="P36" s="5" t="str">
        <f aca="false">IF(M36="","",ROUND(M36*IFERROR(INDEX(Weights!$B$2:$B$4,MATCH(G36,Weights!$A$2:$A$4,0)),0)*IFERROR(INDEX(Weights!$B$7:$B$11,MATCH(E36,Weights!$A$7:$A$11,0)),0)*IFERROR(INDEX(Weights!$B$14:$B$17,MATCH(TEXT(J36,"0"),Weights!$A$14:$A$17,0)),0)/(1+N(N36)/50),1))</f>
        <v/>
      </c>
      <c r="Q36" s="5" t="s">
        <v>42</v>
      </c>
    </row>
    <row r="37" customFormat="false" ht="15" hidden="false" customHeight="false" outlineLevel="0" collapsed="false">
      <c r="A37" s="5" t="n">
        <v>36</v>
      </c>
      <c r="B37" s="5" t="s">
        <v>98</v>
      </c>
      <c r="C37" s="5" t="s">
        <v>78</v>
      </c>
      <c r="D37" s="5" t="s">
        <v>36</v>
      </c>
      <c r="E37" s="5" t="s">
        <v>37</v>
      </c>
      <c r="F37" s="5" t="s">
        <v>81</v>
      </c>
      <c r="G37" s="5" t="s">
        <v>39</v>
      </c>
      <c r="H37" s="5" t="s">
        <v>40</v>
      </c>
      <c r="I37" s="5" t="s">
        <v>79</v>
      </c>
      <c r="J37" s="5" t="n">
        <v>2</v>
      </c>
      <c r="K37" s="5"/>
      <c r="L37" s="6"/>
      <c r="M37" s="6"/>
      <c r="N37" s="6"/>
      <c r="O37" s="6"/>
      <c r="P37" s="5" t="str">
        <f aca="false">IF(M37="","",ROUND(M37*IFERROR(INDEX(Weights!$B$2:$B$4,MATCH(G37,Weights!$A$2:$A$4,0)),0)*IFERROR(INDEX(Weights!$B$7:$B$11,MATCH(E37,Weights!$A$7:$A$11,0)),0)*IFERROR(INDEX(Weights!$B$14:$B$17,MATCH(TEXT(J37,"0"),Weights!$A$14:$A$17,0)),0)/(1+N(N37)/50),1))</f>
        <v/>
      </c>
      <c r="Q37" s="5" t="s">
        <v>42</v>
      </c>
    </row>
    <row r="38" customFormat="false" ht="15" hidden="false" customHeight="false" outlineLevel="0" collapsed="false">
      <c r="A38" s="5" t="n">
        <v>37</v>
      </c>
      <c r="B38" s="5" t="s">
        <v>99</v>
      </c>
      <c r="C38" s="5" t="s">
        <v>35</v>
      </c>
      <c r="D38" s="5" t="s">
        <v>36</v>
      </c>
      <c r="E38" s="5" t="s">
        <v>37</v>
      </c>
      <c r="F38" s="5" t="s">
        <v>100</v>
      </c>
      <c r="G38" s="5" t="s">
        <v>39</v>
      </c>
      <c r="H38" s="5" t="s">
        <v>40</v>
      </c>
      <c r="I38" s="5" t="s">
        <v>41</v>
      </c>
      <c r="J38" s="5" t="n">
        <v>1</v>
      </c>
      <c r="K38" s="5"/>
      <c r="L38" s="6"/>
      <c r="M38" s="6"/>
      <c r="N38" s="6"/>
      <c r="O38" s="6"/>
      <c r="P38" s="5" t="str">
        <f aca="false">IF(M38="","",ROUND(M38*IFERROR(INDEX(Weights!$B$2:$B$4,MATCH(G38,Weights!$A$2:$A$4,0)),0)*IFERROR(INDEX(Weights!$B$7:$B$11,MATCH(E38,Weights!$A$7:$A$11,0)),0)*IFERROR(INDEX(Weights!$B$14:$B$17,MATCH(TEXT(J38,"0"),Weights!$A$14:$A$17,0)),0)/(1+N(N38)/50),1))</f>
        <v/>
      </c>
      <c r="Q38" s="5" t="s">
        <v>42</v>
      </c>
    </row>
    <row r="39" customFormat="false" ht="15" hidden="false" customHeight="false" outlineLevel="0" collapsed="false">
      <c r="A39" s="5" t="n">
        <v>38</v>
      </c>
      <c r="B39" s="5" t="s">
        <v>101</v>
      </c>
      <c r="C39" s="5" t="s">
        <v>35</v>
      </c>
      <c r="D39" s="5" t="s">
        <v>36</v>
      </c>
      <c r="E39" s="5" t="s">
        <v>37</v>
      </c>
      <c r="F39" s="5" t="s">
        <v>100</v>
      </c>
      <c r="G39" s="5" t="s">
        <v>39</v>
      </c>
      <c r="H39" s="5" t="s">
        <v>40</v>
      </c>
      <c r="I39" s="5" t="s">
        <v>44</v>
      </c>
      <c r="J39" s="5" t="n">
        <v>1</v>
      </c>
      <c r="K39" s="5"/>
      <c r="L39" s="6"/>
      <c r="M39" s="6"/>
      <c r="N39" s="6"/>
      <c r="O39" s="6"/>
      <c r="P39" s="5" t="str">
        <f aca="false">IF(M39="","",ROUND(M39*IFERROR(INDEX(Weights!$B$2:$B$4,MATCH(G39,Weights!$A$2:$A$4,0)),0)*IFERROR(INDEX(Weights!$B$7:$B$11,MATCH(E39,Weights!$A$7:$A$11,0)),0)*IFERROR(INDEX(Weights!$B$14:$B$17,MATCH(TEXT(J39,"0"),Weights!$A$14:$A$17,0)),0)/(1+N(N39)/50),1))</f>
        <v/>
      </c>
      <c r="Q39" s="5" t="s">
        <v>42</v>
      </c>
    </row>
    <row r="40" customFormat="false" ht="15" hidden="false" customHeight="false" outlineLevel="0" collapsed="false">
      <c r="A40" s="5" t="n">
        <v>39</v>
      </c>
      <c r="B40" s="5" t="s">
        <v>102</v>
      </c>
      <c r="C40" s="5" t="s">
        <v>35</v>
      </c>
      <c r="D40" s="5" t="s">
        <v>36</v>
      </c>
      <c r="E40" s="5" t="s">
        <v>37</v>
      </c>
      <c r="F40" s="5" t="s">
        <v>100</v>
      </c>
      <c r="G40" s="5" t="s">
        <v>39</v>
      </c>
      <c r="H40" s="5" t="s">
        <v>40</v>
      </c>
      <c r="I40" s="5" t="s">
        <v>44</v>
      </c>
      <c r="J40" s="5" t="n">
        <v>1</v>
      </c>
      <c r="K40" s="5"/>
      <c r="L40" s="6"/>
      <c r="M40" s="6"/>
      <c r="N40" s="6"/>
      <c r="O40" s="6"/>
      <c r="P40" s="5" t="str">
        <f aca="false">IF(M40="","",ROUND(M40*IFERROR(INDEX(Weights!$B$2:$B$4,MATCH(G40,Weights!$A$2:$A$4,0)),0)*IFERROR(INDEX(Weights!$B$7:$B$11,MATCH(E40,Weights!$A$7:$A$11,0)),0)*IFERROR(INDEX(Weights!$B$14:$B$17,MATCH(TEXT(J40,"0"),Weights!$A$14:$A$17,0)),0)/(1+N(N40)/50),1))</f>
        <v/>
      </c>
      <c r="Q40" s="5" t="s">
        <v>42</v>
      </c>
    </row>
    <row r="41" customFormat="false" ht="15" hidden="false" customHeight="false" outlineLevel="0" collapsed="false">
      <c r="A41" s="5" t="n">
        <v>40</v>
      </c>
      <c r="B41" s="5" t="s">
        <v>103</v>
      </c>
      <c r="C41" s="5" t="s">
        <v>47</v>
      </c>
      <c r="D41" s="5" t="s">
        <v>36</v>
      </c>
      <c r="E41" s="5" t="s">
        <v>37</v>
      </c>
      <c r="F41" s="5" t="s">
        <v>100</v>
      </c>
      <c r="G41" s="5" t="s">
        <v>39</v>
      </c>
      <c r="H41" s="5" t="s">
        <v>40</v>
      </c>
      <c r="I41" s="5" t="s">
        <v>48</v>
      </c>
      <c r="J41" s="5" t="n">
        <v>1</v>
      </c>
      <c r="K41" s="5"/>
      <c r="L41" s="6"/>
      <c r="M41" s="6"/>
      <c r="N41" s="6"/>
      <c r="O41" s="6"/>
      <c r="P41" s="5" t="str">
        <f aca="false">IF(M41="","",ROUND(M41*IFERROR(INDEX(Weights!$B$2:$B$4,MATCH(G41,Weights!$A$2:$A$4,0)),0)*IFERROR(INDEX(Weights!$B$7:$B$11,MATCH(E41,Weights!$A$7:$A$11,0)),0)*IFERROR(INDEX(Weights!$B$14:$B$17,MATCH(TEXT(J41,"0"),Weights!$A$14:$A$17,0)),0)/(1+N(N41)/50),1))</f>
        <v/>
      </c>
      <c r="Q41" s="5" t="s">
        <v>42</v>
      </c>
    </row>
    <row r="42" customFormat="false" ht="15" hidden="false" customHeight="false" outlineLevel="0" collapsed="false">
      <c r="A42" s="5" t="n">
        <v>41</v>
      </c>
      <c r="B42" s="5" t="s">
        <v>104</v>
      </c>
      <c r="C42" s="5" t="s">
        <v>47</v>
      </c>
      <c r="D42" s="5" t="s">
        <v>36</v>
      </c>
      <c r="E42" s="5" t="s">
        <v>37</v>
      </c>
      <c r="F42" s="5" t="s">
        <v>100</v>
      </c>
      <c r="G42" s="5" t="s">
        <v>39</v>
      </c>
      <c r="H42" s="5" t="s">
        <v>40</v>
      </c>
      <c r="I42" s="5" t="s">
        <v>48</v>
      </c>
      <c r="J42" s="5" t="n">
        <v>1</v>
      </c>
      <c r="K42" s="5"/>
      <c r="L42" s="6"/>
      <c r="M42" s="6"/>
      <c r="N42" s="6"/>
      <c r="O42" s="6"/>
      <c r="P42" s="5" t="str">
        <f aca="false">IF(M42="","",ROUND(M42*IFERROR(INDEX(Weights!$B$2:$B$4,MATCH(G42,Weights!$A$2:$A$4,0)),0)*IFERROR(INDEX(Weights!$B$7:$B$11,MATCH(E42,Weights!$A$7:$A$11,0)),0)*IFERROR(INDEX(Weights!$B$14:$B$17,MATCH(TEXT(J42,"0"),Weights!$A$14:$A$17,0)),0)/(1+N(N42)/50),1))</f>
        <v/>
      </c>
      <c r="Q42" s="5" t="s">
        <v>42</v>
      </c>
    </row>
    <row r="43" customFormat="false" ht="15" hidden="false" customHeight="false" outlineLevel="0" collapsed="false">
      <c r="A43" s="5" t="n">
        <v>42</v>
      </c>
      <c r="B43" s="5" t="s">
        <v>105</v>
      </c>
      <c r="C43" s="5" t="s">
        <v>51</v>
      </c>
      <c r="D43" s="5" t="s">
        <v>36</v>
      </c>
      <c r="E43" s="5" t="s">
        <v>37</v>
      </c>
      <c r="F43" s="5" t="s">
        <v>100</v>
      </c>
      <c r="G43" s="5" t="s">
        <v>39</v>
      </c>
      <c r="H43" s="5" t="s">
        <v>40</v>
      </c>
      <c r="I43" s="5" t="s">
        <v>52</v>
      </c>
      <c r="J43" s="5" t="n">
        <v>1</v>
      </c>
      <c r="K43" s="5"/>
      <c r="L43" s="6"/>
      <c r="M43" s="6"/>
      <c r="N43" s="6"/>
      <c r="O43" s="6"/>
      <c r="P43" s="5" t="str">
        <f aca="false">IF(M43="","",ROUND(M43*IFERROR(INDEX(Weights!$B$2:$B$4,MATCH(G43,Weights!$A$2:$A$4,0)),0)*IFERROR(INDEX(Weights!$B$7:$B$11,MATCH(E43,Weights!$A$7:$A$11,0)),0)*IFERROR(INDEX(Weights!$B$14:$B$17,MATCH(TEXT(J43,"0"),Weights!$A$14:$A$17,0)),0)/(1+N(N43)/50),1))</f>
        <v/>
      </c>
      <c r="Q43" s="5" t="s">
        <v>42</v>
      </c>
    </row>
    <row r="44" customFormat="false" ht="15" hidden="false" customHeight="false" outlineLevel="0" collapsed="false">
      <c r="A44" s="5" t="n">
        <v>43</v>
      </c>
      <c r="B44" s="5" t="s">
        <v>106</v>
      </c>
      <c r="C44" s="5" t="s">
        <v>54</v>
      </c>
      <c r="D44" s="5" t="s">
        <v>36</v>
      </c>
      <c r="E44" s="5" t="s">
        <v>37</v>
      </c>
      <c r="F44" s="5" t="s">
        <v>100</v>
      </c>
      <c r="G44" s="5" t="s">
        <v>39</v>
      </c>
      <c r="H44" s="5" t="s">
        <v>40</v>
      </c>
      <c r="I44" s="5" t="s">
        <v>55</v>
      </c>
      <c r="J44" s="5" t="n">
        <v>1</v>
      </c>
      <c r="K44" s="5"/>
      <c r="L44" s="6"/>
      <c r="M44" s="6"/>
      <c r="N44" s="6"/>
      <c r="O44" s="6"/>
      <c r="P44" s="5" t="str">
        <f aca="false">IF(M44="","",ROUND(M44*IFERROR(INDEX(Weights!$B$2:$B$4,MATCH(G44,Weights!$A$2:$A$4,0)),0)*IFERROR(INDEX(Weights!$B$7:$B$11,MATCH(E44,Weights!$A$7:$A$11,0)),0)*IFERROR(INDEX(Weights!$B$14:$B$17,MATCH(TEXT(J44,"0"),Weights!$A$14:$A$17,0)),0)/(1+N(N44)/50),1))</f>
        <v/>
      </c>
      <c r="Q44" s="5" t="s">
        <v>42</v>
      </c>
    </row>
    <row r="45" customFormat="false" ht="15" hidden="false" customHeight="false" outlineLevel="0" collapsed="false">
      <c r="A45" s="5" t="n">
        <v>44</v>
      </c>
      <c r="B45" s="5" t="s">
        <v>107</v>
      </c>
      <c r="C45" s="5" t="s">
        <v>57</v>
      </c>
      <c r="D45" s="5" t="s">
        <v>36</v>
      </c>
      <c r="E45" s="5" t="s">
        <v>37</v>
      </c>
      <c r="F45" s="5" t="s">
        <v>100</v>
      </c>
      <c r="G45" s="5" t="s">
        <v>39</v>
      </c>
      <c r="H45" s="5" t="s">
        <v>40</v>
      </c>
      <c r="I45" s="5" t="s">
        <v>58</v>
      </c>
      <c r="J45" s="5" t="n">
        <v>1</v>
      </c>
      <c r="K45" s="5"/>
      <c r="L45" s="6"/>
      <c r="M45" s="6"/>
      <c r="N45" s="6"/>
      <c r="O45" s="6"/>
      <c r="P45" s="5" t="str">
        <f aca="false">IF(M45="","",ROUND(M45*IFERROR(INDEX(Weights!$B$2:$B$4,MATCH(G45,Weights!$A$2:$A$4,0)),0)*IFERROR(INDEX(Weights!$B$7:$B$11,MATCH(E45,Weights!$A$7:$A$11,0)),0)*IFERROR(INDEX(Weights!$B$14:$B$17,MATCH(TEXT(J45,"0"),Weights!$A$14:$A$17,0)),0)/(1+N(N45)/50),1))</f>
        <v/>
      </c>
      <c r="Q45" s="5" t="s">
        <v>42</v>
      </c>
    </row>
    <row r="46" customFormat="false" ht="15" hidden="false" customHeight="false" outlineLevel="0" collapsed="false">
      <c r="A46" s="5" t="n">
        <v>45</v>
      </c>
      <c r="B46" s="5" t="s">
        <v>108</v>
      </c>
      <c r="C46" s="5" t="s">
        <v>57</v>
      </c>
      <c r="D46" s="5" t="s">
        <v>36</v>
      </c>
      <c r="E46" s="5" t="s">
        <v>37</v>
      </c>
      <c r="F46" s="5" t="s">
        <v>100</v>
      </c>
      <c r="G46" s="5" t="s">
        <v>39</v>
      </c>
      <c r="H46" s="5" t="s">
        <v>40</v>
      </c>
      <c r="I46" s="5" t="s">
        <v>58</v>
      </c>
      <c r="J46" s="5" t="n">
        <v>1</v>
      </c>
      <c r="K46" s="5"/>
      <c r="L46" s="6"/>
      <c r="M46" s="6"/>
      <c r="N46" s="6"/>
      <c r="O46" s="6"/>
      <c r="P46" s="5" t="str">
        <f aca="false">IF(M46="","",ROUND(M46*IFERROR(INDEX(Weights!$B$2:$B$4,MATCH(G46,Weights!$A$2:$A$4,0)),0)*IFERROR(INDEX(Weights!$B$7:$B$11,MATCH(E46,Weights!$A$7:$A$11,0)),0)*IFERROR(INDEX(Weights!$B$14:$B$17,MATCH(TEXT(J46,"0"),Weights!$A$14:$A$17,0)),0)/(1+N(N46)/50),1))</f>
        <v/>
      </c>
      <c r="Q46" s="5" t="s">
        <v>42</v>
      </c>
    </row>
    <row r="47" customFormat="false" ht="15" hidden="false" customHeight="false" outlineLevel="0" collapsed="false">
      <c r="A47" s="5" t="n">
        <v>46</v>
      </c>
      <c r="B47" s="5" t="s">
        <v>109</v>
      </c>
      <c r="C47" s="5" t="s">
        <v>61</v>
      </c>
      <c r="D47" s="5" t="s">
        <v>36</v>
      </c>
      <c r="E47" s="5" t="s">
        <v>37</v>
      </c>
      <c r="F47" s="5" t="s">
        <v>100</v>
      </c>
      <c r="G47" s="5" t="s">
        <v>39</v>
      </c>
      <c r="H47" s="5" t="s">
        <v>40</v>
      </c>
      <c r="I47" s="5" t="s">
        <v>62</v>
      </c>
      <c r="J47" s="5" t="n">
        <v>2</v>
      </c>
      <c r="K47" s="5"/>
      <c r="L47" s="6"/>
      <c r="M47" s="6"/>
      <c r="N47" s="6"/>
      <c r="O47" s="6"/>
      <c r="P47" s="5" t="str">
        <f aca="false">IF(M47="","",ROUND(M47*IFERROR(INDEX(Weights!$B$2:$B$4,MATCH(G47,Weights!$A$2:$A$4,0)),0)*IFERROR(INDEX(Weights!$B$7:$B$11,MATCH(E47,Weights!$A$7:$A$11,0)),0)*IFERROR(INDEX(Weights!$B$14:$B$17,MATCH(TEXT(J47,"0"),Weights!$A$14:$A$17,0)),0)/(1+N(N47)/50),1))</f>
        <v/>
      </c>
      <c r="Q47" s="5" t="s">
        <v>42</v>
      </c>
    </row>
    <row r="48" customFormat="false" ht="15" hidden="false" customHeight="false" outlineLevel="0" collapsed="false">
      <c r="A48" s="5" t="n">
        <v>47</v>
      </c>
      <c r="B48" s="5" t="s">
        <v>110</v>
      </c>
      <c r="C48" s="5" t="s">
        <v>64</v>
      </c>
      <c r="D48" s="5" t="s">
        <v>36</v>
      </c>
      <c r="E48" s="5" t="s">
        <v>37</v>
      </c>
      <c r="F48" s="5" t="s">
        <v>100</v>
      </c>
      <c r="G48" s="5" t="s">
        <v>39</v>
      </c>
      <c r="H48" s="5" t="s">
        <v>40</v>
      </c>
      <c r="I48" s="5" t="s">
        <v>64</v>
      </c>
      <c r="J48" s="5" t="n">
        <v>2</v>
      </c>
      <c r="K48" s="5"/>
      <c r="L48" s="6"/>
      <c r="M48" s="6"/>
      <c r="N48" s="6"/>
      <c r="O48" s="6"/>
      <c r="P48" s="5" t="str">
        <f aca="false">IF(M48="","",ROUND(M48*IFERROR(INDEX(Weights!$B$2:$B$4,MATCH(G48,Weights!$A$2:$A$4,0)),0)*IFERROR(INDEX(Weights!$B$7:$B$11,MATCH(E48,Weights!$A$7:$A$11,0)),0)*IFERROR(INDEX(Weights!$B$14:$B$17,MATCH(TEXT(J48,"0"),Weights!$A$14:$A$17,0)),0)/(1+N(N48)/50),1))</f>
        <v/>
      </c>
      <c r="Q48" s="5" t="s">
        <v>42</v>
      </c>
    </row>
    <row r="49" customFormat="false" ht="15" hidden="false" customHeight="false" outlineLevel="0" collapsed="false">
      <c r="A49" s="5" t="n">
        <v>48</v>
      </c>
      <c r="B49" s="5" t="s">
        <v>111</v>
      </c>
      <c r="C49" s="5" t="s">
        <v>66</v>
      </c>
      <c r="D49" s="5" t="s">
        <v>36</v>
      </c>
      <c r="E49" s="5" t="s">
        <v>37</v>
      </c>
      <c r="F49" s="5" t="s">
        <v>100</v>
      </c>
      <c r="G49" s="5" t="s">
        <v>39</v>
      </c>
      <c r="H49" s="5" t="s">
        <v>40</v>
      </c>
      <c r="I49" s="5" t="s">
        <v>67</v>
      </c>
      <c r="J49" s="5" t="n">
        <v>3</v>
      </c>
      <c r="K49" s="5"/>
      <c r="L49" s="6"/>
      <c r="M49" s="6"/>
      <c r="N49" s="6"/>
      <c r="O49" s="6"/>
      <c r="P49" s="5" t="str">
        <f aca="false">IF(M49="","",ROUND(M49*IFERROR(INDEX(Weights!$B$2:$B$4,MATCH(G49,Weights!$A$2:$A$4,0)),0)*IFERROR(INDEX(Weights!$B$7:$B$11,MATCH(E49,Weights!$A$7:$A$11,0)),0)*IFERROR(INDEX(Weights!$B$14:$B$17,MATCH(TEXT(J49,"0"),Weights!$A$14:$A$17,0)),0)/(1+N(N49)/50),1))</f>
        <v/>
      </c>
      <c r="Q49" s="5" t="s">
        <v>42</v>
      </c>
    </row>
    <row r="50" customFormat="false" ht="15" hidden="false" customHeight="false" outlineLevel="0" collapsed="false">
      <c r="A50" s="5" t="n">
        <v>49</v>
      </c>
      <c r="B50" s="5" t="s">
        <v>112</v>
      </c>
      <c r="C50" s="5" t="s">
        <v>69</v>
      </c>
      <c r="D50" s="5" t="s">
        <v>36</v>
      </c>
      <c r="E50" s="5" t="s">
        <v>37</v>
      </c>
      <c r="F50" s="5" t="s">
        <v>100</v>
      </c>
      <c r="G50" s="5" t="s">
        <v>39</v>
      </c>
      <c r="H50" s="5" t="s">
        <v>40</v>
      </c>
      <c r="I50" s="5" t="s">
        <v>70</v>
      </c>
      <c r="J50" s="5" t="n">
        <v>3</v>
      </c>
      <c r="K50" s="5"/>
      <c r="L50" s="6"/>
      <c r="M50" s="6"/>
      <c r="N50" s="6"/>
      <c r="O50" s="6"/>
      <c r="P50" s="5" t="str">
        <f aca="false">IF(M50="","",ROUND(M50*IFERROR(INDEX(Weights!$B$2:$B$4,MATCH(G50,Weights!$A$2:$A$4,0)),0)*IFERROR(INDEX(Weights!$B$7:$B$11,MATCH(E50,Weights!$A$7:$A$11,0)),0)*IFERROR(INDEX(Weights!$B$14:$B$17,MATCH(TEXT(J50,"0"),Weights!$A$14:$A$17,0)),0)/(1+N(N50)/50),1))</f>
        <v/>
      </c>
      <c r="Q50" s="5" t="s">
        <v>42</v>
      </c>
    </row>
    <row r="51" customFormat="false" ht="15" hidden="false" customHeight="false" outlineLevel="0" collapsed="false">
      <c r="A51" s="5" t="n">
        <v>50</v>
      </c>
      <c r="B51" s="5" t="s">
        <v>113</v>
      </c>
      <c r="C51" s="5" t="s">
        <v>69</v>
      </c>
      <c r="D51" s="5" t="s">
        <v>36</v>
      </c>
      <c r="E51" s="5" t="s">
        <v>37</v>
      </c>
      <c r="F51" s="5" t="s">
        <v>100</v>
      </c>
      <c r="G51" s="5" t="s">
        <v>39</v>
      </c>
      <c r="H51" s="5" t="s">
        <v>40</v>
      </c>
      <c r="I51" s="5" t="s">
        <v>70</v>
      </c>
      <c r="J51" s="5" t="n">
        <v>3</v>
      </c>
      <c r="K51" s="5"/>
      <c r="L51" s="6"/>
      <c r="M51" s="6"/>
      <c r="N51" s="6"/>
      <c r="O51" s="6"/>
      <c r="P51" s="5" t="str">
        <f aca="false">IF(M51="","",ROUND(M51*IFERROR(INDEX(Weights!$B$2:$B$4,MATCH(G51,Weights!$A$2:$A$4,0)),0)*IFERROR(INDEX(Weights!$B$7:$B$11,MATCH(E51,Weights!$A$7:$A$11,0)),0)*IFERROR(INDEX(Weights!$B$14:$B$17,MATCH(TEXT(J51,"0"),Weights!$A$14:$A$17,0)),0)/(1+N(N51)/50),1))</f>
        <v/>
      </c>
      <c r="Q51" s="5" t="s">
        <v>42</v>
      </c>
    </row>
    <row r="52" customFormat="false" ht="15" hidden="false" customHeight="false" outlineLevel="0" collapsed="false">
      <c r="A52" s="5" t="n">
        <v>51</v>
      </c>
      <c r="B52" s="5" t="s">
        <v>114</v>
      </c>
      <c r="C52" s="5" t="s">
        <v>64</v>
      </c>
      <c r="D52" s="5" t="s">
        <v>36</v>
      </c>
      <c r="E52" s="5" t="s">
        <v>37</v>
      </c>
      <c r="F52" s="5" t="s">
        <v>100</v>
      </c>
      <c r="G52" s="5" t="s">
        <v>39</v>
      </c>
      <c r="H52" s="5" t="s">
        <v>40</v>
      </c>
      <c r="I52" s="5" t="s">
        <v>64</v>
      </c>
      <c r="J52" s="5" t="n">
        <v>2</v>
      </c>
      <c r="K52" s="5"/>
      <c r="L52" s="6"/>
      <c r="M52" s="6"/>
      <c r="N52" s="6"/>
      <c r="O52" s="6"/>
      <c r="P52" s="5" t="str">
        <f aca="false">IF(M52="","",ROUND(M52*IFERROR(INDEX(Weights!$B$2:$B$4,MATCH(G52,Weights!$A$2:$A$4,0)),0)*IFERROR(INDEX(Weights!$B$7:$B$11,MATCH(E52,Weights!$A$7:$A$11,0)),0)*IFERROR(INDEX(Weights!$B$14:$B$17,MATCH(TEXT(J52,"0"),Weights!$A$14:$A$17,0)),0)/(1+N(N52)/50),1))</f>
        <v/>
      </c>
      <c r="Q52" s="5" t="s">
        <v>42</v>
      </c>
    </row>
    <row r="53" customFormat="false" ht="15" hidden="false" customHeight="false" outlineLevel="0" collapsed="false">
      <c r="A53" s="5" t="n">
        <v>52</v>
      </c>
      <c r="B53" s="5" t="s">
        <v>115</v>
      </c>
      <c r="C53" s="5" t="s">
        <v>74</v>
      </c>
      <c r="D53" s="5" t="s">
        <v>36</v>
      </c>
      <c r="E53" s="5" t="s">
        <v>37</v>
      </c>
      <c r="F53" s="5" t="s">
        <v>100</v>
      </c>
      <c r="G53" s="5" t="s">
        <v>39</v>
      </c>
      <c r="H53" s="5" t="s">
        <v>40</v>
      </c>
      <c r="I53" s="5" t="s">
        <v>75</v>
      </c>
      <c r="J53" s="5" t="n">
        <v>2</v>
      </c>
      <c r="K53" s="5"/>
      <c r="L53" s="6"/>
      <c r="M53" s="6"/>
      <c r="N53" s="6"/>
      <c r="O53" s="6"/>
      <c r="P53" s="5" t="str">
        <f aca="false">IF(M53="","",ROUND(M53*IFERROR(INDEX(Weights!$B$2:$B$4,MATCH(G53,Weights!$A$2:$A$4,0)),0)*IFERROR(INDEX(Weights!$B$7:$B$11,MATCH(E53,Weights!$A$7:$A$11,0)),0)*IFERROR(INDEX(Weights!$B$14:$B$17,MATCH(TEXT(J53,"0"),Weights!$A$14:$A$17,0)),0)/(1+N(N53)/50),1))</f>
        <v/>
      </c>
      <c r="Q53" s="5" t="s">
        <v>42</v>
      </c>
    </row>
    <row r="54" customFormat="false" ht="15" hidden="false" customHeight="false" outlineLevel="0" collapsed="false">
      <c r="A54" s="5" t="n">
        <v>53</v>
      </c>
      <c r="B54" s="5" t="s">
        <v>116</v>
      </c>
      <c r="C54" s="5" t="s">
        <v>74</v>
      </c>
      <c r="D54" s="5" t="s">
        <v>36</v>
      </c>
      <c r="E54" s="5" t="s">
        <v>37</v>
      </c>
      <c r="F54" s="5" t="s">
        <v>100</v>
      </c>
      <c r="G54" s="5" t="s">
        <v>39</v>
      </c>
      <c r="H54" s="5" t="s">
        <v>40</v>
      </c>
      <c r="I54" s="5" t="s">
        <v>75</v>
      </c>
      <c r="J54" s="5" t="n">
        <v>2</v>
      </c>
      <c r="K54" s="5"/>
      <c r="L54" s="6"/>
      <c r="M54" s="6"/>
      <c r="N54" s="6"/>
      <c r="O54" s="6"/>
      <c r="P54" s="5" t="str">
        <f aca="false">IF(M54="","",ROUND(M54*IFERROR(INDEX(Weights!$B$2:$B$4,MATCH(G54,Weights!$A$2:$A$4,0)),0)*IFERROR(INDEX(Weights!$B$7:$B$11,MATCH(E54,Weights!$A$7:$A$11,0)),0)*IFERROR(INDEX(Weights!$B$14:$B$17,MATCH(TEXT(J54,"0"),Weights!$A$14:$A$17,0)),0)/(1+N(N54)/50),1))</f>
        <v/>
      </c>
      <c r="Q54" s="5" t="s">
        <v>42</v>
      </c>
    </row>
    <row r="55" customFormat="false" ht="15" hidden="false" customHeight="false" outlineLevel="0" collapsed="false">
      <c r="A55" s="5" t="n">
        <v>54</v>
      </c>
      <c r="B55" s="5" t="s">
        <v>117</v>
      </c>
      <c r="C55" s="5" t="s">
        <v>78</v>
      </c>
      <c r="D55" s="5" t="s">
        <v>36</v>
      </c>
      <c r="E55" s="5" t="s">
        <v>37</v>
      </c>
      <c r="F55" s="5" t="s">
        <v>100</v>
      </c>
      <c r="G55" s="5" t="s">
        <v>39</v>
      </c>
      <c r="H55" s="5" t="s">
        <v>40</v>
      </c>
      <c r="I55" s="5" t="s">
        <v>79</v>
      </c>
      <c r="J55" s="5" t="n">
        <v>2</v>
      </c>
      <c r="K55" s="5"/>
      <c r="L55" s="6"/>
      <c r="M55" s="6"/>
      <c r="N55" s="6"/>
      <c r="O55" s="6"/>
      <c r="P55" s="5" t="str">
        <f aca="false">IF(M55="","",ROUND(M55*IFERROR(INDEX(Weights!$B$2:$B$4,MATCH(G55,Weights!$A$2:$A$4,0)),0)*IFERROR(INDEX(Weights!$B$7:$B$11,MATCH(E55,Weights!$A$7:$A$11,0)),0)*IFERROR(INDEX(Weights!$B$14:$B$17,MATCH(TEXT(J55,"0"),Weights!$A$14:$A$17,0)),0)/(1+N(N55)/50),1))</f>
        <v/>
      </c>
      <c r="Q55" s="5" t="s">
        <v>42</v>
      </c>
    </row>
    <row r="56" customFormat="false" ht="15" hidden="false" customHeight="false" outlineLevel="0" collapsed="false">
      <c r="A56" s="5" t="n">
        <v>55</v>
      </c>
      <c r="B56" s="5" t="s">
        <v>118</v>
      </c>
      <c r="C56" s="5" t="s">
        <v>35</v>
      </c>
      <c r="D56" s="5" t="s">
        <v>36</v>
      </c>
      <c r="E56" s="5" t="s">
        <v>37</v>
      </c>
      <c r="F56" s="5" t="s">
        <v>119</v>
      </c>
      <c r="G56" s="5" t="s">
        <v>39</v>
      </c>
      <c r="H56" s="5" t="s">
        <v>40</v>
      </c>
      <c r="I56" s="5" t="s">
        <v>41</v>
      </c>
      <c r="J56" s="5" t="n">
        <v>1</v>
      </c>
      <c r="K56" s="5"/>
      <c r="L56" s="6"/>
      <c r="M56" s="6"/>
      <c r="N56" s="6"/>
      <c r="O56" s="6"/>
      <c r="P56" s="5" t="str">
        <f aca="false">IF(M56="","",ROUND(M56*IFERROR(INDEX(Weights!$B$2:$B$4,MATCH(G56,Weights!$A$2:$A$4,0)),0)*IFERROR(INDEX(Weights!$B$7:$B$11,MATCH(E56,Weights!$A$7:$A$11,0)),0)*IFERROR(INDEX(Weights!$B$14:$B$17,MATCH(TEXT(J56,"0"),Weights!$A$14:$A$17,0)),0)/(1+N(N56)/50),1))</f>
        <v/>
      </c>
      <c r="Q56" s="5" t="s">
        <v>42</v>
      </c>
    </row>
    <row r="57" customFormat="false" ht="15" hidden="false" customHeight="false" outlineLevel="0" collapsed="false">
      <c r="A57" s="5" t="n">
        <v>56</v>
      </c>
      <c r="B57" s="5" t="s">
        <v>120</v>
      </c>
      <c r="C57" s="5" t="s">
        <v>35</v>
      </c>
      <c r="D57" s="5" t="s">
        <v>36</v>
      </c>
      <c r="E57" s="5" t="s">
        <v>37</v>
      </c>
      <c r="F57" s="5" t="s">
        <v>119</v>
      </c>
      <c r="G57" s="5" t="s">
        <v>39</v>
      </c>
      <c r="H57" s="5" t="s">
        <v>40</v>
      </c>
      <c r="I57" s="5" t="s">
        <v>41</v>
      </c>
      <c r="J57" s="5" t="n">
        <v>1</v>
      </c>
      <c r="K57" s="5" t="s">
        <v>121</v>
      </c>
      <c r="L57" s="6"/>
      <c r="M57" s="6"/>
      <c r="N57" s="6"/>
      <c r="O57" s="6"/>
      <c r="P57" s="5" t="str">
        <f aca="false">IF(M57="","",ROUND(M57*IFERROR(INDEX(Weights!$B$2:$B$4,MATCH(G57,Weights!$A$2:$A$4,0)),0)*IFERROR(INDEX(Weights!$B$7:$B$11,MATCH(E57,Weights!$A$7:$A$11,0)),0)*IFERROR(INDEX(Weights!$B$14:$B$17,MATCH(TEXT(J57,"0"),Weights!$A$14:$A$17,0)),0)/(1+N(N57)/50),1))</f>
        <v/>
      </c>
      <c r="Q57" s="5" t="s">
        <v>122</v>
      </c>
    </row>
    <row r="58" customFormat="false" ht="15" hidden="false" customHeight="false" outlineLevel="0" collapsed="false">
      <c r="A58" s="5" t="n">
        <v>57</v>
      </c>
      <c r="B58" s="5" t="s">
        <v>123</v>
      </c>
      <c r="C58" s="5" t="s">
        <v>35</v>
      </c>
      <c r="D58" s="5" t="s">
        <v>36</v>
      </c>
      <c r="E58" s="5" t="s">
        <v>37</v>
      </c>
      <c r="F58" s="5" t="s">
        <v>119</v>
      </c>
      <c r="G58" s="5" t="s">
        <v>39</v>
      </c>
      <c r="H58" s="5" t="s">
        <v>40</v>
      </c>
      <c r="I58" s="5" t="s">
        <v>44</v>
      </c>
      <c r="J58" s="5" t="n">
        <v>1</v>
      </c>
      <c r="K58" s="5"/>
      <c r="L58" s="6"/>
      <c r="M58" s="6"/>
      <c r="N58" s="6"/>
      <c r="O58" s="6"/>
      <c r="P58" s="5" t="str">
        <f aca="false">IF(M58="","",ROUND(M58*IFERROR(INDEX(Weights!$B$2:$B$4,MATCH(G58,Weights!$A$2:$A$4,0)),0)*IFERROR(INDEX(Weights!$B$7:$B$11,MATCH(E58,Weights!$A$7:$A$11,0)),0)*IFERROR(INDEX(Weights!$B$14:$B$17,MATCH(TEXT(J58,"0"),Weights!$A$14:$A$17,0)),0)/(1+N(N58)/50),1))</f>
        <v/>
      </c>
      <c r="Q58" s="5" t="s">
        <v>42</v>
      </c>
    </row>
    <row r="59" customFormat="false" ht="15" hidden="false" customHeight="false" outlineLevel="0" collapsed="false">
      <c r="A59" s="5" t="n">
        <v>58</v>
      </c>
      <c r="B59" s="5" t="s">
        <v>124</v>
      </c>
      <c r="C59" s="5" t="s">
        <v>35</v>
      </c>
      <c r="D59" s="5" t="s">
        <v>36</v>
      </c>
      <c r="E59" s="5" t="s">
        <v>37</v>
      </c>
      <c r="F59" s="5" t="s">
        <v>119</v>
      </c>
      <c r="G59" s="5" t="s">
        <v>39</v>
      </c>
      <c r="H59" s="5" t="s">
        <v>40</v>
      </c>
      <c r="I59" s="5" t="s">
        <v>44</v>
      </c>
      <c r="J59" s="5" t="n">
        <v>1</v>
      </c>
      <c r="K59" s="5" t="s">
        <v>121</v>
      </c>
      <c r="L59" s="6"/>
      <c r="M59" s="6"/>
      <c r="N59" s="6"/>
      <c r="O59" s="6"/>
      <c r="P59" s="5" t="str">
        <f aca="false">IF(M59="","",ROUND(M59*IFERROR(INDEX(Weights!$B$2:$B$4,MATCH(G59,Weights!$A$2:$A$4,0)),0)*IFERROR(INDEX(Weights!$B$7:$B$11,MATCH(E59,Weights!$A$7:$A$11,0)),0)*IFERROR(INDEX(Weights!$B$14:$B$17,MATCH(TEXT(J59,"0"),Weights!$A$14:$A$17,0)),0)/(1+N(N59)/50),1))</f>
        <v/>
      </c>
      <c r="Q59" s="5" t="s">
        <v>122</v>
      </c>
    </row>
    <row r="60" customFormat="false" ht="15" hidden="false" customHeight="false" outlineLevel="0" collapsed="false">
      <c r="A60" s="5" t="n">
        <v>59</v>
      </c>
      <c r="B60" s="5" t="s">
        <v>125</v>
      </c>
      <c r="C60" s="5" t="s">
        <v>35</v>
      </c>
      <c r="D60" s="5" t="s">
        <v>36</v>
      </c>
      <c r="E60" s="5" t="s">
        <v>37</v>
      </c>
      <c r="F60" s="5" t="s">
        <v>119</v>
      </c>
      <c r="G60" s="5" t="s">
        <v>39</v>
      </c>
      <c r="H60" s="5" t="s">
        <v>40</v>
      </c>
      <c r="I60" s="5" t="s">
        <v>44</v>
      </c>
      <c r="J60" s="5" t="n">
        <v>1</v>
      </c>
      <c r="K60" s="5"/>
      <c r="L60" s="6"/>
      <c r="M60" s="6"/>
      <c r="N60" s="6"/>
      <c r="O60" s="6"/>
      <c r="P60" s="5" t="str">
        <f aca="false">IF(M60="","",ROUND(M60*IFERROR(INDEX(Weights!$B$2:$B$4,MATCH(G60,Weights!$A$2:$A$4,0)),0)*IFERROR(INDEX(Weights!$B$7:$B$11,MATCH(E60,Weights!$A$7:$A$11,0)),0)*IFERROR(INDEX(Weights!$B$14:$B$17,MATCH(TEXT(J60,"0"),Weights!$A$14:$A$17,0)),0)/(1+N(N60)/50),1))</f>
        <v/>
      </c>
      <c r="Q60" s="5" t="s">
        <v>42</v>
      </c>
    </row>
    <row r="61" customFormat="false" ht="15" hidden="false" customHeight="false" outlineLevel="0" collapsed="false">
      <c r="A61" s="5" t="n">
        <v>60</v>
      </c>
      <c r="B61" s="5" t="s">
        <v>126</v>
      </c>
      <c r="C61" s="5" t="s">
        <v>35</v>
      </c>
      <c r="D61" s="5" t="s">
        <v>36</v>
      </c>
      <c r="E61" s="5" t="s">
        <v>37</v>
      </c>
      <c r="F61" s="5" t="s">
        <v>119</v>
      </c>
      <c r="G61" s="5" t="s">
        <v>39</v>
      </c>
      <c r="H61" s="5" t="s">
        <v>40</v>
      </c>
      <c r="I61" s="5" t="s">
        <v>44</v>
      </c>
      <c r="J61" s="5" t="n">
        <v>1</v>
      </c>
      <c r="K61" s="5" t="s">
        <v>121</v>
      </c>
      <c r="L61" s="6"/>
      <c r="M61" s="6"/>
      <c r="N61" s="6"/>
      <c r="O61" s="6"/>
      <c r="P61" s="5" t="str">
        <f aca="false">IF(M61="","",ROUND(M61*IFERROR(INDEX(Weights!$B$2:$B$4,MATCH(G61,Weights!$A$2:$A$4,0)),0)*IFERROR(INDEX(Weights!$B$7:$B$11,MATCH(E61,Weights!$A$7:$A$11,0)),0)*IFERROR(INDEX(Weights!$B$14:$B$17,MATCH(TEXT(J61,"0"),Weights!$A$14:$A$17,0)),0)/(1+N(N61)/50),1))</f>
        <v/>
      </c>
      <c r="Q61" s="5" t="s">
        <v>122</v>
      </c>
    </row>
    <row r="62" customFormat="false" ht="15" hidden="false" customHeight="false" outlineLevel="0" collapsed="false">
      <c r="A62" s="5" t="n">
        <v>61</v>
      </c>
      <c r="B62" s="5" t="s">
        <v>127</v>
      </c>
      <c r="C62" s="5" t="s">
        <v>47</v>
      </c>
      <c r="D62" s="5" t="s">
        <v>36</v>
      </c>
      <c r="E62" s="5" t="s">
        <v>37</v>
      </c>
      <c r="F62" s="5" t="s">
        <v>119</v>
      </c>
      <c r="G62" s="5" t="s">
        <v>39</v>
      </c>
      <c r="H62" s="5" t="s">
        <v>40</v>
      </c>
      <c r="I62" s="5" t="s">
        <v>48</v>
      </c>
      <c r="J62" s="5" t="n">
        <v>1</v>
      </c>
      <c r="K62" s="5"/>
      <c r="L62" s="6"/>
      <c r="M62" s="6"/>
      <c r="N62" s="6"/>
      <c r="O62" s="6"/>
      <c r="P62" s="5" t="str">
        <f aca="false">IF(M62="","",ROUND(M62*IFERROR(INDEX(Weights!$B$2:$B$4,MATCH(G62,Weights!$A$2:$A$4,0)),0)*IFERROR(INDEX(Weights!$B$7:$B$11,MATCH(E62,Weights!$A$7:$A$11,0)),0)*IFERROR(INDEX(Weights!$B$14:$B$17,MATCH(TEXT(J62,"0"),Weights!$A$14:$A$17,0)),0)/(1+N(N62)/50),1))</f>
        <v/>
      </c>
      <c r="Q62" s="5" t="s">
        <v>42</v>
      </c>
    </row>
    <row r="63" customFormat="false" ht="15" hidden="false" customHeight="false" outlineLevel="0" collapsed="false">
      <c r="A63" s="5" t="n">
        <v>62</v>
      </c>
      <c r="B63" s="5" t="s">
        <v>128</v>
      </c>
      <c r="C63" s="5" t="s">
        <v>47</v>
      </c>
      <c r="D63" s="5" t="s">
        <v>36</v>
      </c>
      <c r="E63" s="5" t="s">
        <v>37</v>
      </c>
      <c r="F63" s="5" t="s">
        <v>119</v>
      </c>
      <c r="G63" s="5" t="s">
        <v>39</v>
      </c>
      <c r="H63" s="5" t="s">
        <v>40</v>
      </c>
      <c r="I63" s="5" t="s">
        <v>48</v>
      </c>
      <c r="J63" s="5" t="n">
        <v>1</v>
      </c>
      <c r="K63" s="5" t="s">
        <v>121</v>
      </c>
      <c r="L63" s="6"/>
      <c r="M63" s="6"/>
      <c r="N63" s="6"/>
      <c r="O63" s="6"/>
      <c r="P63" s="5" t="str">
        <f aca="false">IF(M63="","",ROUND(M63*IFERROR(INDEX(Weights!$B$2:$B$4,MATCH(G63,Weights!$A$2:$A$4,0)),0)*IFERROR(INDEX(Weights!$B$7:$B$11,MATCH(E63,Weights!$A$7:$A$11,0)),0)*IFERROR(INDEX(Weights!$B$14:$B$17,MATCH(TEXT(J63,"0"),Weights!$A$14:$A$17,0)),0)/(1+N(N63)/50),1))</f>
        <v/>
      </c>
      <c r="Q63" s="5" t="s">
        <v>122</v>
      </c>
    </row>
    <row r="64" customFormat="false" ht="15" hidden="false" customHeight="false" outlineLevel="0" collapsed="false">
      <c r="A64" s="5" t="n">
        <v>63</v>
      </c>
      <c r="B64" s="5" t="s">
        <v>129</v>
      </c>
      <c r="C64" s="5" t="s">
        <v>47</v>
      </c>
      <c r="D64" s="5" t="s">
        <v>36</v>
      </c>
      <c r="E64" s="5" t="s">
        <v>37</v>
      </c>
      <c r="F64" s="5" t="s">
        <v>119</v>
      </c>
      <c r="G64" s="5" t="s">
        <v>39</v>
      </c>
      <c r="H64" s="5" t="s">
        <v>40</v>
      </c>
      <c r="I64" s="5" t="s">
        <v>48</v>
      </c>
      <c r="J64" s="5" t="n">
        <v>1</v>
      </c>
      <c r="K64" s="5"/>
      <c r="L64" s="6"/>
      <c r="M64" s="6"/>
      <c r="N64" s="6"/>
      <c r="O64" s="6"/>
      <c r="P64" s="5" t="str">
        <f aca="false">IF(M64="","",ROUND(M64*IFERROR(INDEX(Weights!$B$2:$B$4,MATCH(G64,Weights!$A$2:$A$4,0)),0)*IFERROR(INDEX(Weights!$B$7:$B$11,MATCH(E64,Weights!$A$7:$A$11,0)),0)*IFERROR(INDEX(Weights!$B$14:$B$17,MATCH(TEXT(J64,"0"),Weights!$A$14:$A$17,0)),0)/(1+N(N64)/50),1))</f>
        <v/>
      </c>
      <c r="Q64" s="5" t="s">
        <v>42</v>
      </c>
    </row>
    <row r="65" customFormat="false" ht="15" hidden="false" customHeight="false" outlineLevel="0" collapsed="false">
      <c r="A65" s="5" t="n">
        <v>64</v>
      </c>
      <c r="B65" s="5" t="s">
        <v>130</v>
      </c>
      <c r="C65" s="5" t="s">
        <v>47</v>
      </c>
      <c r="D65" s="5" t="s">
        <v>36</v>
      </c>
      <c r="E65" s="5" t="s">
        <v>37</v>
      </c>
      <c r="F65" s="5" t="s">
        <v>119</v>
      </c>
      <c r="G65" s="5" t="s">
        <v>39</v>
      </c>
      <c r="H65" s="5" t="s">
        <v>40</v>
      </c>
      <c r="I65" s="5" t="s">
        <v>48</v>
      </c>
      <c r="J65" s="5" t="n">
        <v>1</v>
      </c>
      <c r="K65" s="5" t="s">
        <v>121</v>
      </c>
      <c r="L65" s="6"/>
      <c r="M65" s="6"/>
      <c r="N65" s="6"/>
      <c r="O65" s="6"/>
      <c r="P65" s="5" t="str">
        <f aca="false">IF(M65="","",ROUND(M65*IFERROR(INDEX(Weights!$B$2:$B$4,MATCH(G65,Weights!$A$2:$A$4,0)),0)*IFERROR(INDEX(Weights!$B$7:$B$11,MATCH(E65,Weights!$A$7:$A$11,0)),0)*IFERROR(INDEX(Weights!$B$14:$B$17,MATCH(TEXT(J65,"0"),Weights!$A$14:$A$17,0)),0)/(1+N(N65)/50),1))</f>
        <v/>
      </c>
      <c r="Q65" s="5" t="s">
        <v>122</v>
      </c>
    </row>
    <row r="66" customFormat="false" ht="15" hidden="false" customHeight="false" outlineLevel="0" collapsed="false">
      <c r="A66" s="5" t="n">
        <v>65</v>
      </c>
      <c r="B66" s="5" t="s">
        <v>131</v>
      </c>
      <c r="C66" s="5" t="s">
        <v>51</v>
      </c>
      <c r="D66" s="5" t="s">
        <v>36</v>
      </c>
      <c r="E66" s="5" t="s">
        <v>37</v>
      </c>
      <c r="F66" s="5" t="s">
        <v>119</v>
      </c>
      <c r="G66" s="5" t="s">
        <v>39</v>
      </c>
      <c r="H66" s="5" t="s">
        <v>40</v>
      </c>
      <c r="I66" s="5" t="s">
        <v>52</v>
      </c>
      <c r="J66" s="5" t="n">
        <v>1</v>
      </c>
      <c r="K66" s="5"/>
      <c r="L66" s="6"/>
      <c r="M66" s="6"/>
      <c r="N66" s="6"/>
      <c r="O66" s="6"/>
      <c r="P66" s="5" t="str">
        <f aca="false">IF(M66="","",ROUND(M66*IFERROR(INDEX(Weights!$B$2:$B$4,MATCH(G66,Weights!$A$2:$A$4,0)),0)*IFERROR(INDEX(Weights!$B$7:$B$11,MATCH(E66,Weights!$A$7:$A$11,0)),0)*IFERROR(INDEX(Weights!$B$14:$B$17,MATCH(TEXT(J66,"0"),Weights!$A$14:$A$17,0)),0)/(1+N(N66)/50),1))</f>
        <v/>
      </c>
      <c r="Q66" s="5" t="s">
        <v>42</v>
      </c>
    </row>
    <row r="67" customFormat="false" ht="15" hidden="false" customHeight="false" outlineLevel="0" collapsed="false">
      <c r="A67" s="5" t="n">
        <v>66</v>
      </c>
      <c r="B67" s="5" t="s">
        <v>132</v>
      </c>
      <c r="C67" s="5" t="s">
        <v>51</v>
      </c>
      <c r="D67" s="5" t="s">
        <v>36</v>
      </c>
      <c r="E67" s="5" t="s">
        <v>37</v>
      </c>
      <c r="F67" s="5" t="s">
        <v>119</v>
      </c>
      <c r="G67" s="5" t="s">
        <v>39</v>
      </c>
      <c r="H67" s="5" t="s">
        <v>40</v>
      </c>
      <c r="I67" s="5" t="s">
        <v>52</v>
      </c>
      <c r="J67" s="5" t="n">
        <v>1</v>
      </c>
      <c r="K67" s="5" t="s">
        <v>121</v>
      </c>
      <c r="L67" s="6"/>
      <c r="M67" s="6"/>
      <c r="N67" s="6"/>
      <c r="O67" s="6"/>
      <c r="P67" s="5" t="str">
        <f aca="false">IF(M67="","",ROUND(M67*IFERROR(INDEX(Weights!$B$2:$B$4,MATCH(G67,Weights!$A$2:$A$4,0)),0)*IFERROR(INDEX(Weights!$B$7:$B$11,MATCH(E67,Weights!$A$7:$A$11,0)),0)*IFERROR(INDEX(Weights!$B$14:$B$17,MATCH(TEXT(J67,"0"),Weights!$A$14:$A$17,0)),0)/(1+N(N67)/50),1))</f>
        <v/>
      </c>
      <c r="Q67" s="5" t="s">
        <v>122</v>
      </c>
    </row>
    <row r="68" customFormat="false" ht="15" hidden="false" customHeight="false" outlineLevel="0" collapsed="false">
      <c r="A68" s="5" t="n">
        <v>67</v>
      </c>
      <c r="B68" s="5" t="s">
        <v>133</v>
      </c>
      <c r="C68" s="5" t="s">
        <v>54</v>
      </c>
      <c r="D68" s="5" t="s">
        <v>36</v>
      </c>
      <c r="E68" s="5" t="s">
        <v>37</v>
      </c>
      <c r="F68" s="5" t="s">
        <v>119</v>
      </c>
      <c r="G68" s="5" t="s">
        <v>39</v>
      </c>
      <c r="H68" s="5" t="s">
        <v>40</v>
      </c>
      <c r="I68" s="5" t="s">
        <v>55</v>
      </c>
      <c r="J68" s="5" t="n">
        <v>1</v>
      </c>
      <c r="K68" s="5"/>
      <c r="L68" s="6"/>
      <c r="M68" s="6"/>
      <c r="N68" s="6"/>
      <c r="O68" s="6"/>
      <c r="P68" s="5" t="str">
        <f aca="false">IF(M68="","",ROUND(M68*IFERROR(INDEX(Weights!$B$2:$B$4,MATCH(G68,Weights!$A$2:$A$4,0)),0)*IFERROR(INDEX(Weights!$B$7:$B$11,MATCH(E68,Weights!$A$7:$A$11,0)),0)*IFERROR(INDEX(Weights!$B$14:$B$17,MATCH(TEXT(J68,"0"),Weights!$A$14:$A$17,0)),0)/(1+N(N68)/50),1))</f>
        <v/>
      </c>
      <c r="Q68" s="5" t="s">
        <v>42</v>
      </c>
    </row>
    <row r="69" customFormat="false" ht="15" hidden="false" customHeight="false" outlineLevel="0" collapsed="false">
      <c r="A69" s="5" t="n">
        <v>68</v>
      </c>
      <c r="B69" s="5" t="s">
        <v>134</v>
      </c>
      <c r="C69" s="5" t="s">
        <v>54</v>
      </c>
      <c r="D69" s="5" t="s">
        <v>36</v>
      </c>
      <c r="E69" s="5" t="s">
        <v>37</v>
      </c>
      <c r="F69" s="5" t="s">
        <v>119</v>
      </c>
      <c r="G69" s="5" t="s">
        <v>39</v>
      </c>
      <c r="H69" s="5" t="s">
        <v>40</v>
      </c>
      <c r="I69" s="5" t="s">
        <v>55</v>
      </c>
      <c r="J69" s="5" t="n">
        <v>1</v>
      </c>
      <c r="K69" s="5" t="s">
        <v>121</v>
      </c>
      <c r="L69" s="6"/>
      <c r="M69" s="6"/>
      <c r="N69" s="6"/>
      <c r="O69" s="6"/>
      <c r="P69" s="5" t="str">
        <f aca="false">IF(M69="","",ROUND(M69*IFERROR(INDEX(Weights!$B$2:$B$4,MATCH(G69,Weights!$A$2:$A$4,0)),0)*IFERROR(INDEX(Weights!$B$7:$B$11,MATCH(E69,Weights!$A$7:$A$11,0)),0)*IFERROR(INDEX(Weights!$B$14:$B$17,MATCH(TEXT(J69,"0"),Weights!$A$14:$A$17,0)),0)/(1+N(N69)/50),1))</f>
        <v/>
      </c>
      <c r="Q69" s="5" t="s">
        <v>122</v>
      </c>
    </row>
    <row r="70" customFormat="false" ht="15" hidden="false" customHeight="false" outlineLevel="0" collapsed="false">
      <c r="A70" s="5" t="n">
        <v>69</v>
      </c>
      <c r="B70" s="5" t="s">
        <v>135</v>
      </c>
      <c r="C70" s="5" t="s">
        <v>57</v>
      </c>
      <c r="D70" s="5" t="s">
        <v>36</v>
      </c>
      <c r="E70" s="5" t="s">
        <v>37</v>
      </c>
      <c r="F70" s="5" t="s">
        <v>119</v>
      </c>
      <c r="G70" s="5" t="s">
        <v>39</v>
      </c>
      <c r="H70" s="5" t="s">
        <v>40</v>
      </c>
      <c r="I70" s="5" t="s">
        <v>58</v>
      </c>
      <c r="J70" s="5" t="n">
        <v>1</v>
      </c>
      <c r="K70" s="5"/>
      <c r="L70" s="6"/>
      <c r="M70" s="6"/>
      <c r="N70" s="6"/>
      <c r="O70" s="6"/>
      <c r="P70" s="5" t="str">
        <f aca="false">IF(M70="","",ROUND(M70*IFERROR(INDEX(Weights!$B$2:$B$4,MATCH(G70,Weights!$A$2:$A$4,0)),0)*IFERROR(INDEX(Weights!$B$7:$B$11,MATCH(E70,Weights!$A$7:$A$11,0)),0)*IFERROR(INDEX(Weights!$B$14:$B$17,MATCH(TEXT(J70,"0"),Weights!$A$14:$A$17,0)),0)/(1+N(N70)/50),1))</f>
        <v/>
      </c>
      <c r="Q70" s="5" t="s">
        <v>42</v>
      </c>
    </row>
    <row r="71" customFormat="false" ht="15" hidden="false" customHeight="false" outlineLevel="0" collapsed="false">
      <c r="A71" s="5" t="n">
        <v>70</v>
      </c>
      <c r="B71" s="5" t="s">
        <v>136</v>
      </c>
      <c r="C71" s="5" t="s">
        <v>57</v>
      </c>
      <c r="D71" s="5" t="s">
        <v>36</v>
      </c>
      <c r="E71" s="5" t="s">
        <v>37</v>
      </c>
      <c r="F71" s="5" t="s">
        <v>119</v>
      </c>
      <c r="G71" s="5" t="s">
        <v>39</v>
      </c>
      <c r="H71" s="5" t="s">
        <v>40</v>
      </c>
      <c r="I71" s="5" t="s">
        <v>58</v>
      </c>
      <c r="J71" s="5" t="n">
        <v>1</v>
      </c>
      <c r="K71" s="5" t="s">
        <v>121</v>
      </c>
      <c r="L71" s="6"/>
      <c r="M71" s="6"/>
      <c r="N71" s="6"/>
      <c r="O71" s="6"/>
      <c r="P71" s="5" t="str">
        <f aca="false">IF(M71="","",ROUND(M71*IFERROR(INDEX(Weights!$B$2:$B$4,MATCH(G71,Weights!$A$2:$A$4,0)),0)*IFERROR(INDEX(Weights!$B$7:$B$11,MATCH(E71,Weights!$A$7:$A$11,0)),0)*IFERROR(INDEX(Weights!$B$14:$B$17,MATCH(TEXT(J71,"0"),Weights!$A$14:$A$17,0)),0)/(1+N(N71)/50),1))</f>
        <v/>
      </c>
      <c r="Q71" s="5" t="s">
        <v>122</v>
      </c>
    </row>
    <row r="72" customFormat="false" ht="15" hidden="false" customHeight="false" outlineLevel="0" collapsed="false">
      <c r="A72" s="5" t="n">
        <v>71</v>
      </c>
      <c r="B72" s="5" t="s">
        <v>137</v>
      </c>
      <c r="C72" s="5" t="s">
        <v>57</v>
      </c>
      <c r="D72" s="5" t="s">
        <v>36</v>
      </c>
      <c r="E72" s="5" t="s">
        <v>37</v>
      </c>
      <c r="F72" s="5" t="s">
        <v>119</v>
      </c>
      <c r="G72" s="5" t="s">
        <v>39</v>
      </c>
      <c r="H72" s="5" t="s">
        <v>40</v>
      </c>
      <c r="I72" s="5" t="s">
        <v>58</v>
      </c>
      <c r="J72" s="5" t="n">
        <v>1</v>
      </c>
      <c r="K72" s="5"/>
      <c r="L72" s="6"/>
      <c r="M72" s="6"/>
      <c r="N72" s="6"/>
      <c r="O72" s="6"/>
      <c r="P72" s="5" t="str">
        <f aca="false">IF(M72="","",ROUND(M72*IFERROR(INDEX(Weights!$B$2:$B$4,MATCH(G72,Weights!$A$2:$A$4,0)),0)*IFERROR(INDEX(Weights!$B$7:$B$11,MATCH(E72,Weights!$A$7:$A$11,0)),0)*IFERROR(INDEX(Weights!$B$14:$B$17,MATCH(TEXT(J72,"0"),Weights!$A$14:$A$17,0)),0)/(1+N(N72)/50),1))</f>
        <v/>
      </c>
      <c r="Q72" s="5" t="s">
        <v>42</v>
      </c>
    </row>
    <row r="73" customFormat="false" ht="15" hidden="false" customHeight="false" outlineLevel="0" collapsed="false">
      <c r="A73" s="5" t="n">
        <v>72</v>
      </c>
      <c r="B73" s="5" t="s">
        <v>138</v>
      </c>
      <c r="C73" s="5" t="s">
        <v>57</v>
      </c>
      <c r="D73" s="5" t="s">
        <v>36</v>
      </c>
      <c r="E73" s="5" t="s">
        <v>37</v>
      </c>
      <c r="F73" s="5" t="s">
        <v>119</v>
      </c>
      <c r="G73" s="5" t="s">
        <v>39</v>
      </c>
      <c r="H73" s="5" t="s">
        <v>40</v>
      </c>
      <c r="I73" s="5" t="s">
        <v>58</v>
      </c>
      <c r="J73" s="5" t="n">
        <v>1</v>
      </c>
      <c r="K73" s="5" t="s">
        <v>121</v>
      </c>
      <c r="L73" s="6"/>
      <c r="M73" s="6"/>
      <c r="N73" s="6"/>
      <c r="O73" s="6"/>
      <c r="P73" s="5" t="str">
        <f aca="false">IF(M73="","",ROUND(M73*IFERROR(INDEX(Weights!$B$2:$B$4,MATCH(G73,Weights!$A$2:$A$4,0)),0)*IFERROR(INDEX(Weights!$B$7:$B$11,MATCH(E73,Weights!$A$7:$A$11,0)),0)*IFERROR(INDEX(Weights!$B$14:$B$17,MATCH(TEXT(J73,"0"),Weights!$A$14:$A$17,0)),0)/(1+N(N73)/50),1))</f>
        <v/>
      </c>
      <c r="Q73" s="5" t="s">
        <v>122</v>
      </c>
    </row>
    <row r="74" customFormat="false" ht="15" hidden="false" customHeight="false" outlineLevel="0" collapsed="false">
      <c r="A74" s="5" t="n">
        <v>73</v>
      </c>
      <c r="B74" s="5" t="s">
        <v>139</v>
      </c>
      <c r="C74" s="5" t="s">
        <v>61</v>
      </c>
      <c r="D74" s="5" t="s">
        <v>36</v>
      </c>
      <c r="E74" s="5" t="s">
        <v>37</v>
      </c>
      <c r="F74" s="5" t="s">
        <v>119</v>
      </c>
      <c r="G74" s="5" t="s">
        <v>39</v>
      </c>
      <c r="H74" s="5" t="s">
        <v>40</v>
      </c>
      <c r="I74" s="5" t="s">
        <v>62</v>
      </c>
      <c r="J74" s="5" t="n">
        <v>2</v>
      </c>
      <c r="K74" s="5"/>
      <c r="L74" s="6"/>
      <c r="M74" s="6"/>
      <c r="N74" s="6"/>
      <c r="O74" s="6"/>
      <c r="P74" s="5" t="str">
        <f aca="false">IF(M74="","",ROUND(M74*IFERROR(INDEX(Weights!$B$2:$B$4,MATCH(G74,Weights!$A$2:$A$4,0)),0)*IFERROR(INDEX(Weights!$B$7:$B$11,MATCH(E74,Weights!$A$7:$A$11,0)),0)*IFERROR(INDEX(Weights!$B$14:$B$17,MATCH(TEXT(J74,"0"),Weights!$A$14:$A$17,0)),0)/(1+N(N74)/50),1))</f>
        <v/>
      </c>
      <c r="Q74" s="5" t="s">
        <v>42</v>
      </c>
    </row>
    <row r="75" customFormat="false" ht="15" hidden="false" customHeight="false" outlineLevel="0" collapsed="false">
      <c r="A75" s="5" t="n">
        <v>74</v>
      </c>
      <c r="B75" s="5" t="s">
        <v>140</v>
      </c>
      <c r="C75" s="5" t="s">
        <v>61</v>
      </c>
      <c r="D75" s="5" t="s">
        <v>36</v>
      </c>
      <c r="E75" s="5" t="s">
        <v>37</v>
      </c>
      <c r="F75" s="5" t="s">
        <v>119</v>
      </c>
      <c r="G75" s="5" t="s">
        <v>39</v>
      </c>
      <c r="H75" s="5" t="s">
        <v>40</v>
      </c>
      <c r="I75" s="5" t="s">
        <v>62</v>
      </c>
      <c r="J75" s="5" t="n">
        <v>2</v>
      </c>
      <c r="K75" s="5" t="s">
        <v>121</v>
      </c>
      <c r="L75" s="6"/>
      <c r="M75" s="6"/>
      <c r="N75" s="6"/>
      <c r="O75" s="6"/>
      <c r="P75" s="5" t="str">
        <f aca="false">IF(M75="","",ROUND(M75*IFERROR(INDEX(Weights!$B$2:$B$4,MATCH(G75,Weights!$A$2:$A$4,0)),0)*IFERROR(INDEX(Weights!$B$7:$B$11,MATCH(E75,Weights!$A$7:$A$11,0)),0)*IFERROR(INDEX(Weights!$B$14:$B$17,MATCH(TEXT(J75,"0"),Weights!$A$14:$A$17,0)),0)/(1+N(N75)/50),1))</f>
        <v/>
      </c>
      <c r="Q75" s="5" t="s">
        <v>122</v>
      </c>
    </row>
    <row r="76" customFormat="false" ht="15" hidden="false" customHeight="false" outlineLevel="0" collapsed="false">
      <c r="A76" s="5" t="n">
        <v>75</v>
      </c>
      <c r="B76" s="5" t="s">
        <v>141</v>
      </c>
      <c r="C76" s="5" t="s">
        <v>64</v>
      </c>
      <c r="D76" s="5" t="s">
        <v>36</v>
      </c>
      <c r="E76" s="5" t="s">
        <v>37</v>
      </c>
      <c r="F76" s="5" t="s">
        <v>119</v>
      </c>
      <c r="G76" s="5" t="s">
        <v>39</v>
      </c>
      <c r="H76" s="5" t="s">
        <v>40</v>
      </c>
      <c r="I76" s="5" t="s">
        <v>64</v>
      </c>
      <c r="J76" s="5" t="n">
        <v>2</v>
      </c>
      <c r="K76" s="5"/>
      <c r="L76" s="6"/>
      <c r="M76" s="6"/>
      <c r="N76" s="6"/>
      <c r="O76" s="6"/>
      <c r="P76" s="5" t="str">
        <f aca="false">IF(M76="","",ROUND(M76*IFERROR(INDEX(Weights!$B$2:$B$4,MATCH(G76,Weights!$A$2:$A$4,0)),0)*IFERROR(INDEX(Weights!$B$7:$B$11,MATCH(E76,Weights!$A$7:$A$11,0)),0)*IFERROR(INDEX(Weights!$B$14:$B$17,MATCH(TEXT(J76,"0"),Weights!$A$14:$A$17,0)),0)/(1+N(N76)/50),1))</f>
        <v/>
      </c>
      <c r="Q76" s="5" t="s">
        <v>42</v>
      </c>
    </row>
    <row r="77" customFormat="false" ht="15" hidden="false" customHeight="false" outlineLevel="0" collapsed="false">
      <c r="A77" s="5" t="n">
        <v>76</v>
      </c>
      <c r="B77" s="5" t="s">
        <v>142</v>
      </c>
      <c r="C77" s="5" t="s">
        <v>64</v>
      </c>
      <c r="D77" s="5" t="s">
        <v>36</v>
      </c>
      <c r="E77" s="5" t="s">
        <v>37</v>
      </c>
      <c r="F77" s="5" t="s">
        <v>119</v>
      </c>
      <c r="G77" s="5" t="s">
        <v>39</v>
      </c>
      <c r="H77" s="5" t="s">
        <v>40</v>
      </c>
      <c r="I77" s="5" t="s">
        <v>64</v>
      </c>
      <c r="J77" s="5" t="n">
        <v>2</v>
      </c>
      <c r="K77" s="5" t="s">
        <v>121</v>
      </c>
      <c r="L77" s="6"/>
      <c r="M77" s="6"/>
      <c r="N77" s="6"/>
      <c r="O77" s="6"/>
      <c r="P77" s="5" t="str">
        <f aca="false">IF(M77="","",ROUND(M77*IFERROR(INDEX(Weights!$B$2:$B$4,MATCH(G77,Weights!$A$2:$A$4,0)),0)*IFERROR(INDEX(Weights!$B$7:$B$11,MATCH(E77,Weights!$A$7:$A$11,0)),0)*IFERROR(INDEX(Weights!$B$14:$B$17,MATCH(TEXT(J77,"0"),Weights!$A$14:$A$17,0)),0)/(1+N(N77)/50),1))</f>
        <v/>
      </c>
      <c r="Q77" s="5" t="s">
        <v>122</v>
      </c>
    </row>
    <row r="78" customFormat="false" ht="15" hidden="false" customHeight="false" outlineLevel="0" collapsed="false">
      <c r="A78" s="5" t="n">
        <v>77</v>
      </c>
      <c r="B78" s="5" t="s">
        <v>143</v>
      </c>
      <c r="C78" s="5" t="s">
        <v>66</v>
      </c>
      <c r="D78" s="5" t="s">
        <v>36</v>
      </c>
      <c r="E78" s="5" t="s">
        <v>37</v>
      </c>
      <c r="F78" s="5" t="s">
        <v>119</v>
      </c>
      <c r="G78" s="5" t="s">
        <v>39</v>
      </c>
      <c r="H78" s="5" t="s">
        <v>40</v>
      </c>
      <c r="I78" s="5" t="s">
        <v>67</v>
      </c>
      <c r="J78" s="5" t="n">
        <v>3</v>
      </c>
      <c r="K78" s="5"/>
      <c r="L78" s="6"/>
      <c r="M78" s="6"/>
      <c r="N78" s="6"/>
      <c r="O78" s="6"/>
      <c r="P78" s="5" t="str">
        <f aca="false">IF(M78="","",ROUND(M78*IFERROR(INDEX(Weights!$B$2:$B$4,MATCH(G78,Weights!$A$2:$A$4,0)),0)*IFERROR(INDEX(Weights!$B$7:$B$11,MATCH(E78,Weights!$A$7:$A$11,0)),0)*IFERROR(INDEX(Weights!$B$14:$B$17,MATCH(TEXT(J78,"0"),Weights!$A$14:$A$17,0)),0)/(1+N(N78)/50),1))</f>
        <v/>
      </c>
      <c r="Q78" s="5" t="s">
        <v>42</v>
      </c>
    </row>
    <row r="79" customFormat="false" ht="15" hidden="false" customHeight="false" outlineLevel="0" collapsed="false">
      <c r="A79" s="5" t="n">
        <v>78</v>
      </c>
      <c r="B79" s="5" t="s">
        <v>144</v>
      </c>
      <c r="C79" s="5" t="s">
        <v>66</v>
      </c>
      <c r="D79" s="5" t="s">
        <v>36</v>
      </c>
      <c r="E79" s="5" t="s">
        <v>37</v>
      </c>
      <c r="F79" s="5" t="s">
        <v>119</v>
      </c>
      <c r="G79" s="5" t="s">
        <v>39</v>
      </c>
      <c r="H79" s="5" t="s">
        <v>40</v>
      </c>
      <c r="I79" s="5" t="s">
        <v>67</v>
      </c>
      <c r="J79" s="5" t="n">
        <v>3</v>
      </c>
      <c r="K79" s="5" t="s">
        <v>121</v>
      </c>
      <c r="L79" s="6"/>
      <c r="M79" s="6"/>
      <c r="N79" s="6"/>
      <c r="O79" s="6"/>
      <c r="P79" s="5" t="str">
        <f aca="false">IF(M79="","",ROUND(M79*IFERROR(INDEX(Weights!$B$2:$B$4,MATCH(G79,Weights!$A$2:$A$4,0)),0)*IFERROR(INDEX(Weights!$B$7:$B$11,MATCH(E79,Weights!$A$7:$A$11,0)),0)*IFERROR(INDEX(Weights!$B$14:$B$17,MATCH(TEXT(J79,"0"),Weights!$A$14:$A$17,0)),0)/(1+N(N79)/50),1))</f>
        <v/>
      </c>
      <c r="Q79" s="5" t="s">
        <v>122</v>
      </c>
    </row>
    <row r="80" customFormat="false" ht="15" hidden="false" customHeight="false" outlineLevel="0" collapsed="false">
      <c r="A80" s="5" t="n">
        <v>79</v>
      </c>
      <c r="B80" s="5" t="s">
        <v>145</v>
      </c>
      <c r="C80" s="5" t="s">
        <v>69</v>
      </c>
      <c r="D80" s="5" t="s">
        <v>36</v>
      </c>
      <c r="E80" s="5" t="s">
        <v>37</v>
      </c>
      <c r="F80" s="5" t="s">
        <v>119</v>
      </c>
      <c r="G80" s="5" t="s">
        <v>39</v>
      </c>
      <c r="H80" s="5" t="s">
        <v>40</v>
      </c>
      <c r="I80" s="5" t="s">
        <v>70</v>
      </c>
      <c r="J80" s="5" t="n">
        <v>3</v>
      </c>
      <c r="K80" s="5"/>
      <c r="L80" s="6"/>
      <c r="M80" s="6"/>
      <c r="N80" s="6"/>
      <c r="O80" s="6"/>
      <c r="P80" s="5" t="str">
        <f aca="false">IF(M80="","",ROUND(M80*IFERROR(INDEX(Weights!$B$2:$B$4,MATCH(G80,Weights!$A$2:$A$4,0)),0)*IFERROR(INDEX(Weights!$B$7:$B$11,MATCH(E80,Weights!$A$7:$A$11,0)),0)*IFERROR(INDEX(Weights!$B$14:$B$17,MATCH(TEXT(J80,"0"),Weights!$A$14:$A$17,0)),0)/(1+N(N80)/50),1))</f>
        <v/>
      </c>
      <c r="Q80" s="5" t="s">
        <v>42</v>
      </c>
    </row>
    <row r="81" customFormat="false" ht="15" hidden="false" customHeight="false" outlineLevel="0" collapsed="false">
      <c r="A81" s="5" t="n">
        <v>80</v>
      </c>
      <c r="B81" s="5" t="s">
        <v>146</v>
      </c>
      <c r="C81" s="5" t="s">
        <v>69</v>
      </c>
      <c r="D81" s="5" t="s">
        <v>36</v>
      </c>
      <c r="E81" s="5" t="s">
        <v>37</v>
      </c>
      <c r="F81" s="5" t="s">
        <v>119</v>
      </c>
      <c r="G81" s="5" t="s">
        <v>39</v>
      </c>
      <c r="H81" s="5" t="s">
        <v>40</v>
      </c>
      <c r="I81" s="5" t="s">
        <v>70</v>
      </c>
      <c r="J81" s="5" t="n">
        <v>3</v>
      </c>
      <c r="K81" s="5" t="s">
        <v>121</v>
      </c>
      <c r="L81" s="6"/>
      <c r="M81" s="6"/>
      <c r="N81" s="6"/>
      <c r="O81" s="6"/>
      <c r="P81" s="5" t="str">
        <f aca="false">IF(M81="","",ROUND(M81*IFERROR(INDEX(Weights!$B$2:$B$4,MATCH(G81,Weights!$A$2:$A$4,0)),0)*IFERROR(INDEX(Weights!$B$7:$B$11,MATCH(E81,Weights!$A$7:$A$11,0)),0)*IFERROR(INDEX(Weights!$B$14:$B$17,MATCH(TEXT(J81,"0"),Weights!$A$14:$A$17,0)),0)/(1+N(N81)/50),1))</f>
        <v/>
      </c>
      <c r="Q81" s="5" t="s">
        <v>122</v>
      </c>
    </row>
    <row r="82" customFormat="false" ht="15" hidden="false" customHeight="false" outlineLevel="0" collapsed="false">
      <c r="A82" s="5" t="n">
        <v>81</v>
      </c>
      <c r="B82" s="5" t="s">
        <v>147</v>
      </c>
      <c r="C82" s="5" t="s">
        <v>69</v>
      </c>
      <c r="D82" s="5" t="s">
        <v>36</v>
      </c>
      <c r="E82" s="5" t="s">
        <v>37</v>
      </c>
      <c r="F82" s="5" t="s">
        <v>119</v>
      </c>
      <c r="G82" s="5" t="s">
        <v>39</v>
      </c>
      <c r="H82" s="5" t="s">
        <v>40</v>
      </c>
      <c r="I82" s="5" t="s">
        <v>70</v>
      </c>
      <c r="J82" s="5" t="n">
        <v>3</v>
      </c>
      <c r="K82" s="5"/>
      <c r="L82" s="6"/>
      <c r="M82" s="6"/>
      <c r="N82" s="6"/>
      <c r="O82" s="6"/>
      <c r="P82" s="5" t="str">
        <f aca="false">IF(M82="","",ROUND(M82*IFERROR(INDEX(Weights!$B$2:$B$4,MATCH(G82,Weights!$A$2:$A$4,0)),0)*IFERROR(INDEX(Weights!$B$7:$B$11,MATCH(E82,Weights!$A$7:$A$11,0)),0)*IFERROR(INDEX(Weights!$B$14:$B$17,MATCH(TEXT(J82,"0"),Weights!$A$14:$A$17,0)),0)/(1+N(N82)/50),1))</f>
        <v/>
      </c>
      <c r="Q82" s="5" t="s">
        <v>42</v>
      </c>
    </row>
    <row r="83" customFormat="false" ht="15" hidden="false" customHeight="false" outlineLevel="0" collapsed="false">
      <c r="A83" s="5" t="n">
        <v>82</v>
      </c>
      <c r="B83" s="5" t="s">
        <v>148</v>
      </c>
      <c r="C83" s="5" t="s">
        <v>69</v>
      </c>
      <c r="D83" s="5" t="s">
        <v>36</v>
      </c>
      <c r="E83" s="5" t="s">
        <v>37</v>
      </c>
      <c r="F83" s="5" t="s">
        <v>119</v>
      </c>
      <c r="G83" s="5" t="s">
        <v>39</v>
      </c>
      <c r="H83" s="5" t="s">
        <v>40</v>
      </c>
      <c r="I83" s="5" t="s">
        <v>70</v>
      </c>
      <c r="J83" s="5" t="n">
        <v>3</v>
      </c>
      <c r="K83" s="5" t="s">
        <v>121</v>
      </c>
      <c r="L83" s="6"/>
      <c r="M83" s="6"/>
      <c r="N83" s="6"/>
      <c r="O83" s="6"/>
      <c r="P83" s="5" t="str">
        <f aca="false">IF(M83="","",ROUND(M83*IFERROR(INDEX(Weights!$B$2:$B$4,MATCH(G83,Weights!$A$2:$A$4,0)),0)*IFERROR(INDEX(Weights!$B$7:$B$11,MATCH(E83,Weights!$A$7:$A$11,0)),0)*IFERROR(INDEX(Weights!$B$14:$B$17,MATCH(TEXT(J83,"0"),Weights!$A$14:$A$17,0)),0)/(1+N(N83)/50),1))</f>
        <v/>
      </c>
      <c r="Q83" s="5" t="s">
        <v>122</v>
      </c>
    </row>
    <row r="84" customFormat="false" ht="15" hidden="false" customHeight="false" outlineLevel="0" collapsed="false">
      <c r="A84" s="5" t="n">
        <v>83</v>
      </c>
      <c r="B84" s="5" t="s">
        <v>149</v>
      </c>
      <c r="C84" s="5" t="s">
        <v>64</v>
      </c>
      <c r="D84" s="5" t="s">
        <v>36</v>
      </c>
      <c r="E84" s="5" t="s">
        <v>37</v>
      </c>
      <c r="F84" s="5" t="s">
        <v>119</v>
      </c>
      <c r="G84" s="5" t="s">
        <v>39</v>
      </c>
      <c r="H84" s="5" t="s">
        <v>40</v>
      </c>
      <c r="I84" s="5" t="s">
        <v>64</v>
      </c>
      <c r="J84" s="5" t="n">
        <v>2</v>
      </c>
      <c r="K84" s="5"/>
      <c r="L84" s="6"/>
      <c r="M84" s="6"/>
      <c r="N84" s="6"/>
      <c r="O84" s="6"/>
      <c r="P84" s="5" t="str">
        <f aca="false">IF(M84="","",ROUND(M84*IFERROR(INDEX(Weights!$B$2:$B$4,MATCH(G84,Weights!$A$2:$A$4,0)),0)*IFERROR(INDEX(Weights!$B$7:$B$11,MATCH(E84,Weights!$A$7:$A$11,0)),0)*IFERROR(INDEX(Weights!$B$14:$B$17,MATCH(TEXT(J84,"0"),Weights!$A$14:$A$17,0)),0)/(1+N(N84)/50),1))</f>
        <v/>
      </c>
      <c r="Q84" s="5" t="s">
        <v>42</v>
      </c>
    </row>
    <row r="85" customFormat="false" ht="15" hidden="false" customHeight="false" outlineLevel="0" collapsed="false">
      <c r="A85" s="5" t="n">
        <v>84</v>
      </c>
      <c r="B85" s="5" t="s">
        <v>150</v>
      </c>
      <c r="C85" s="5" t="s">
        <v>64</v>
      </c>
      <c r="D85" s="5" t="s">
        <v>36</v>
      </c>
      <c r="E85" s="5" t="s">
        <v>37</v>
      </c>
      <c r="F85" s="5" t="s">
        <v>119</v>
      </c>
      <c r="G85" s="5" t="s">
        <v>39</v>
      </c>
      <c r="H85" s="5" t="s">
        <v>40</v>
      </c>
      <c r="I85" s="5" t="s">
        <v>64</v>
      </c>
      <c r="J85" s="5" t="n">
        <v>2</v>
      </c>
      <c r="K85" s="5" t="s">
        <v>121</v>
      </c>
      <c r="L85" s="6"/>
      <c r="M85" s="6"/>
      <c r="N85" s="6"/>
      <c r="O85" s="6"/>
      <c r="P85" s="5" t="str">
        <f aca="false">IF(M85="","",ROUND(M85*IFERROR(INDEX(Weights!$B$2:$B$4,MATCH(G85,Weights!$A$2:$A$4,0)),0)*IFERROR(INDEX(Weights!$B$7:$B$11,MATCH(E85,Weights!$A$7:$A$11,0)),0)*IFERROR(INDEX(Weights!$B$14:$B$17,MATCH(TEXT(J85,"0"),Weights!$A$14:$A$17,0)),0)/(1+N(N85)/50),1))</f>
        <v/>
      </c>
      <c r="Q85" s="5" t="s">
        <v>122</v>
      </c>
    </row>
    <row r="86" customFormat="false" ht="15" hidden="false" customHeight="false" outlineLevel="0" collapsed="false">
      <c r="A86" s="5" t="n">
        <v>85</v>
      </c>
      <c r="B86" s="5" t="s">
        <v>151</v>
      </c>
      <c r="C86" s="5" t="s">
        <v>74</v>
      </c>
      <c r="D86" s="5" t="s">
        <v>36</v>
      </c>
      <c r="E86" s="5" t="s">
        <v>37</v>
      </c>
      <c r="F86" s="5" t="s">
        <v>119</v>
      </c>
      <c r="G86" s="5" t="s">
        <v>39</v>
      </c>
      <c r="H86" s="5" t="s">
        <v>40</v>
      </c>
      <c r="I86" s="5" t="s">
        <v>75</v>
      </c>
      <c r="J86" s="5" t="n">
        <v>2</v>
      </c>
      <c r="K86" s="5"/>
      <c r="L86" s="6"/>
      <c r="M86" s="6"/>
      <c r="N86" s="6"/>
      <c r="O86" s="6"/>
      <c r="P86" s="5" t="str">
        <f aca="false">IF(M86="","",ROUND(M86*IFERROR(INDEX(Weights!$B$2:$B$4,MATCH(G86,Weights!$A$2:$A$4,0)),0)*IFERROR(INDEX(Weights!$B$7:$B$11,MATCH(E86,Weights!$A$7:$A$11,0)),0)*IFERROR(INDEX(Weights!$B$14:$B$17,MATCH(TEXT(J86,"0"),Weights!$A$14:$A$17,0)),0)/(1+N(N86)/50),1))</f>
        <v/>
      </c>
      <c r="Q86" s="5" t="s">
        <v>42</v>
      </c>
    </row>
    <row r="87" customFormat="false" ht="15" hidden="false" customHeight="false" outlineLevel="0" collapsed="false">
      <c r="A87" s="5" t="n">
        <v>86</v>
      </c>
      <c r="B87" s="5" t="s">
        <v>152</v>
      </c>
      <c r="C87" s="5" t="s">
        <v>74</v>
      </c>
      <c r="D87" s="5" t="s">
        <v>36</v>
      </c>
      <c r="E87" s="5" t="s">
        <v>37</v>
      </c>
      <c r="F87" s="5" t="s">
        <v>119</v>
      </c>
      <c r="G87" s="5" t="s">
        <v>39</v>
      </c>
      <c r="H87" s="5" t="s">
        <v>40</v>
      </c>
      <c r="I87" s="5" t="s">
        <v>75</v>
      </c>
      <c r="J87" s="5" t="n">
        <v>2</v>
      </c>
      <c r="K87" s="5" t="s">
        <v>121</v>
      </c>
      <c r="L87" s="6"/>
      <c r="M87" s="6"/>
      <c r="N87" s="6"/>
      <c r="O87" s="6"/>
      <c r="P87" s="5" t="str">
        <f aca="false">IF(M87="","",ROUND(M87*IFERROR(INDEX(Weights!$B$2:$B$4,MATCH(G87,Weights!$A$2:$A$4,0)),0)*IFERROR(INDEX(Weights!$B$7:$B$11,MATCH(E87,Weights!$A$7:$A$11,0)),0)*IFERROR(INDEX(Weights!$B$14:$B$17,MATCH(TEXT(J87,"0"),Weights!$A$14:$A$17,0)),0)/(1+N(N87)/50),1))</f>
        <v/>
      </c>
      <c r="Q87" s="5" t="s">
        <v>122</v>
      </c>
    </row>
    <row r="88" customFormat="false" ht="15" hidden="false" customHeight="false" outlineLevel="0" collapsed="false">
      <c r="A88" s="5" t="n">
        <v>87</v>
      </c>
      <c r="B88" s="5" t="s">
        <v>153</v>
      </c>
      <c r="C88" s="5" t="s">
        <v>74</v>
      </c>
      <c r="D88" s="5" t="s">
        <v>36</v>
      </c>
      <c r="E88" s="5" t="s">
        <v>37</v>
      </c>
      <c r="F88" s="5" t="s">
        <v>119</v>
      </c>
      <c r="G88" s="5" t="s">
        <v>39</v>
      </c>
      <c r="H88" s="5" t="s">
        <v>40</v>
      </c>
      <c r="I88" s="5" t="s">
        <v>75</v>
      </c>
      <c r="J88" s="5" t="n">
        <v>2</v>
      </c>
      <c r="K88" s="5"/>
      <c r="L88" s="6"/>
      <c r="M88" s="6"/>
      <c r="N88" s="6"/>
      <c r="O88" s="6"/>
      <c r="P88" s="5" t="str">
        <f aca="false">IF(M88="","",ROUND(M88*IFERROR(INDEX(Weights!$B$2:$B$4,MATCH(G88,Weights!$A$2:$A$4,0)),0)*IFERROR(INDEX(Weights!$B$7:$B$11,MATCH(E88,Weights!$A$7:$A$11,0)),0)*IFERROR(INDEX(Weights!$B$14:$B$17,MATCH(TEXT(J88,"0"),Weights!$A$14:$A$17,0)),0)/(1+N(N88)/50),1))</f>
        <v/>
      </c>
      <c r="Q88" s="5" t="s">
        <v>42</v>
      </c>
    </row>
    <row r="89" customFormat="false" ht="15" hidden="false" customHeight="false" outlineLevel="0" collapsed="false">
      <c r="A89" s="5" t="n">
        <v>88</v>
      </c>
      <c r="B89" s="5" t="s">
        <v>154</v>
      </c>
      <c r="C89" s="5" t="s">
        <v>74</v>
      </c>
      <c r="D89" s="5" t="s">
        <v>36</v>
      </c>
      <c r="E89" s="5" t="s">
        <v>37</v>
      </c>
      <c r="F89" s="5" t="s">
        <v>119</v>
      </c>
      <c r="G89" s="5" t="s">
        <v>39</v>
      </c>
      <c r="H89" s="5" t="s">
        <v>40</v>
      </c>
      <c r="I89" s="5" t="s">
        <v>75</v>
      </c>
      <c r="J89" s="5" t="n">
        <v>2</v>
      </c>
      <c r="K89" s="5" t="s">
        <v>121</v>
      </c>
      <c r="L89" s="6"/>
      <c r="M89" s="6"/>
      <c r="N89" s="6"/>
      <c r="O89" s="6"/>
      <c r="P89" s="5" t="str">
        <f aca="false">IF(M89="","",ROUND(M89*IFERROR(INDEX(Weights!$B$2:$B$4,MATCH(G89,Weights!$A$2:$A$4,0)),0)*IFERROR(INDEX(Weights!$B$7:$B$11,MATCH(E89,Weights!$A$7:$A$11,0)),0)*IFERROR(INDEX(Weights!$B$14:$B$17,MATCH(TEXT(J89,"0"),Weights!$A$14:$A$17,0)),0)/(1+N(N89)/50),1))</f>
        <v/>
      </c>
      <c r="Q89" s="5" t="s">
        <v>122</v>
      </c>
    </row>
    <row r="90" customFormat="false" ht="15" hidden="false" customHeight="false" outlineLevel="0" collapsed="false">
      <c r="A90" s="5" t="n">
        <v>89</v>
      </c>
      <c r="B90" s="5" t="s">
        <v>155</v>
      </c>
      <c r="C90" s="5" t="s">
        <v>78</v>
      </c>
      <c r="D90" s="5" t="s">
        <v>36</v>
      </c>
      <c r="E90" s="5" t="s">
        <v>37</v>
      </c>
      <c r="F90" s="5" t="s">
        <v>119</v>
      </c>
      <c r="G90" s="5" t="s">
        <v>39</v>
      </c>
      <c r="H90" s="5" t="s">
        <v>40</v>
      </c>
      <c r="I90" s="5" t="s">
        <v>79</v>
      </c>
      <c r="J90" s="5" t="n">
        <v>2</v>
      </c>
      <c r="K90" s="5"/>
      <c r="L90" s="6"/>
      <c r="M90" s="6"/>
      <c r="N90" s="6"/>
      <c r="O90" s="6"/>
      <c r="P90" s="5" t="str">
        <f aca="false">IF(M90="","",ROUND(M90*IFERROR(INDEX(Weights!$B$2:$B$4,MATCH(G90,Weights!$A$2:$A$4,0)),0)*IFERROR(INDEX(Weights!$B$7:$B$11,MATCH(E90,Weights!$A$7:$A$11,0)),0)*IFERROR(INDEX(Weights!$B$14:$B$17,MATCH(TEXT(J90,"0"),Weights!$A$14:$A$17,0)),0)/(1+N(N90)/50),1))</f>
        <v/>
      </c>
      <c r="Q90" s="5" t="s">
        <v>42</v>
      </c>
    </row>
    <row r="91" customFormat="false" ht="15" hidden="false" customHeight="false" outlineLevel="0" collapsed="false">
      <c r="A91" s="5" t="n">
        <v>90</v>
      </c>
      <c r="B91" s="5" t="s">
        <v>156</v>
      </c>
      <c r="C91" s="5" t="s">
        <v>78</v>
      </c>
      <c r="D91" s="5" t="s">
        <v>36</v>
      </c>
      <c r="E91" s="5" t="s">
        <v>37</v>
      </c>
      <c r="F91" s="5" t="s">
        <v>119</v>
      </c>
      <c r="G91" s="5" t="s">
        <v>39</v>
      </c>
      <c r="H91" s="5" t="s">
        <v>40</v>
      </c>
      <c r="I91" s="5" t="s">
        <v>79</v>
      </c>
      <c r="J91" s="5" t="n">
        <v>2</v>
      </c>
      <c r="K91" s="5" t="s">
        <v>121</v>
      </c>
      <c r="L91" s="6"/>
      <c r="M91" s="6"/>
      <c r="N91" s="6"/>
      <c r="O91" s="6"/>
      <c r="P91" s="5" t="str">
        <f aca="false">IF(M91="","",ROUND(M91*IFERROR(INDEX(Weights!$B$2:$B$4,MATCH(G91,Weights!$A$2:$A$4,0)),0)*IFERROR(INDEX(Weights!$B$7:$B$11,MATCH(E91,Weights!$A$7:$A$11,0)),0)*IFERROR(INDEX(Weights!$B$14:$B$17,MATCH(TEXT(J91,"0"),Weights!$A$14:$A$17,0)),0)/(1+N(N91)/50),1))</f>
        <v/>
      </c>
      <c r="Q91" s="5" t="s">
        <v>122</v>
      </c>
    </row>
    <row r="92" customFormat="false" ht="15" hidden="false" customHeight="false" outlineLevel="0" collapsed="false">
      <c r="A92" s="5" t="n">
        <v>91</v>
      </c>
      <c r="B92" s="5" t="s">
        <v>157</v>
      </c>
      <c r="C92" s="5" t="s">
        <v>35</v>
      </c>
      <c r="D92" s="5" t="s">
        <v>36</v>
      </c>
      <c r="E92" s="5" t="s">
        <v>37</v>
      </c>
      <c r="F92" s="5" t="s">
        <v>158</v>
      </c>
      <c r="G92" s="5" t="s">
        <v>39</v>
      </c>
      <c r="H92" s="5" t="s">
        <v>40</v>
      </c>
      <c r="I92" s="5" t="s">
        <v>41</v>
      </c>
      <c r="J92" s="5" t="n">
        <v>1</v>
      </c>
      <c r="K92" s="5"/>
      <c r="L92" s="6"/>
      <c r="M92" s="6"/>
      <c r="N92" s="6"/>
      <c r="O92" s="6"/>
      <c r="P92" s="5" t="str">
        <f aca="false">IF(M92="","",ROUND(M92*IFERROR(INDEX(Weights!$B$2:$B$4,MATCH(G92,Weights!$A$2:$A$4,0)),0)*IFERROR(INDEX(Weights!$B$7:$B$11,MATCH(E92,Weights!$A$7:$A$11,0)),0)*IFERROR(INDEX(Weights!$B$14:$B$17,MATCH(TEXT(J92,"0"),Weights!$A$14:$A$17,0)),0)/(1+N(N92)/50),1))</f>
        <v/>
      </c>
      <c r="Q92" s="5" t="s">
        <v>42</v>
      </c>
    </row>
    <row r="93" customFormat="false" ht="15" hidden="false" customHeight="false" outlineLevel="0" collapsed="false">
      <c r="A93" s="5" t="n">
        <v>92</v>
      </c>
      <c r="B93" s="5" t="s">
        <v>159</v>
      </c>
      <c r="C93" s="5" t="s">
        <v>35</v>
      </c>
      <c r="D93" s="5" t="s">
        <v>36</v>
      </c>
      <c r="E93" s="5" t="s">
        <v>37</v>
      </c>
      <c r="F93" s="5" t="s">
        <v>158</v>
      </c>
      <c r="G93" s="5" t="s">
        <v>39</v>
      </c>
      <c r="H93" s="5" t="s">
        <v>40</v>
      </c>
      <c r="I93" s="5" t="s">
        <v>44</v>
      </c>
      <c r="J93" s="5" t="n">
        <v>1</v>
      </c>
      <c r="K93" s="5"/>
      <c r="L93" s="6"/>
      <c r="M93" s="6"/>
      <c r="N93" s="6"/>
      <c r="O93" s="6"/>
      <c r="P93" s="5" t="str">
        <f aca="false">IF(M93="","",ROUND(M93*IFERROR(INDEX(Weights!$B$2:$B$4,MATCH(G93,Weights!$A$2:$A$4,0)),0)*IFERROR(INDEX(Weights!$B$7:$B$11,MATCH(E93,Weights!$A$7:$A$11,0)),0)*IFERROR(INDEX(Weights!$B$14:$B$17,MATCH(TEXT(J93,"0"),Weights!$A$14:$A$17,0)),0)/(1+N(N93)/50),1))</f>
        <v/>
      </c>
      <c r="Q93" s="5" t="s">
        <v>42</v>
      </c>
    </row>
    <row r="94" customFormat="false" ht="15" hidden="false" customHeight="false" outlineLevel="0" collapsed="false">
      <c r="A94" s="5" t="n">
        <v>93</v>
      </c>
      <c r="B94" s="5" t="s">
        <v>160</v>
      </c>
      <c r="C94" s="5" t="s">
        <v>35</v>
      </c>
      <c r="D94" s="5" t="s">
        <v>36</v>
      </c>
      <c r="E94" s="5" t="s">
        <v>37</v>
      </c>
      <c r="F94" s="5" t="s">
        <v>158</v>
      </c>
      <c r="G94" s="5" t="s">
        <v>39</v>
      </c>
      <c r="H94" s="5" t="s">
        <v>40</v>
      </c>
      <c r="I94" s="5" t="s">
        <v>44</v>
      </c>
      <c r="J94" s="5" t="n">
        <v>1</v>
      </c>
      <c r="K94" s="5"/>
      <c r="L94" s="6"/>
      <c r="M94" s="6"/>
      <c r="N94" s="6"/>
      <c r="O94" s="6"/>
      <c r="P94" s="5" t="str">
        <f aca="false">IF(M94="","",ROUND(M94*IFERROR(INDEX(Weights!$B$2:$B$4,MATCH(G94,Weights!$A$2:$A$4,0)),0)*IFERROR(INDEX(Weights!$B$7:$B$11,MATCH(E94,Weights!$A$7:$A$11,0)),0)*IFERROR(INDEX(Weights!$B$14:$B$17,MATCH(TEXT(J94,"0"),Weights!$A$14:$A$17,0)),0)/(1+N(N94)/50),1))</f>
        <v/>
      </c>
      <c r="Q94" s="5" t="s">
        <v>42</v>
      </c>
    </row>
    <row r="95" customFormat="false" ht="15" hidden="false" customHeight="false" outlineLevel="0" collapsed="false">
      <c r="A95" s="5" t="n">
        <v>94</v>
      </c>
      <c r="B95" s="5" t="s">
        <v>161</v>
      </c>
      <c r="C95" s="5" t="s">
        <v>47</v>
      </c>
      <c r="D95" s="5" t="s">
        <v>36</v>
      </c>
      <c r="E95" s="5" t="s">
        <v>37</v>
      </c>
      <c r="F95" s="5" t="s">
        <v>158</v>
      </c>
      <c r="G95" s="5" t="s">
        <v>39</v>
      </c>
      <c r="H95" s="5" t="s">
        <v>40</v>
      </c>
      <c r="I95" s="5" t="s">
        <v>48</v>
      </c>
      <c r="J95" s="5" t="n">
        <v>1</v>
      </c>
      <c r="K95" s="5"/>
      <c r="L95" s="6"/>
      <c r="M95" s="6"/>
      <c r="N95" s="6"/>
      <c r="O95" s="6"/>
      <c r="P95" s="5" t="str">
        <f aca="false">IF(M95="","",ROUND(M95*IFERROR(INDEX(Weights!$B$2:$B$4,MATCH(G95,Weights!$A$2:$A$4,0)),0)*IFERROR(INDEX(Weights!$B$7:$B$11,MATCH(E95,Weights!$A$7:$A$11,0)),0)*IFERROR(INDEX(Weights!$B$14:$B$17,MATCH(TEXT(J95,"0"),Weights!$A$14:$A$17,0)),0)/(1+N(N95)/50),1))</f>
        <v/>
      </c>
      <c r="Q95" s="5" t="s">
        <v>42</v>
      </c>
    </row>
    <row r="96" customFormat="false" ht="15" hidden="false" customHeight="false" outlineLevel="0" collapsed="false">
      <c r="A96" s="5" t="n">
        <v>95</v>
      </c>
      <c r="B96" s="5" t="s">
        <v>162</v>
      </c>
      <c r="C96" s="5" t="s">
        <v>47</v>
      </c>
      <c r="D96" s="5" t="s">
        <v>36</v>
      </c>
      <c r="E96" s="5" t="s">
        <v>37</v>
      </c>
      <c r="F96" s="5" t="s">
        <v>158</v>
      </c>
      <c r="G96" s="5" t="s">
        <v>39</v>
      </c>
      <c r="H96" s="5" t="s">
        <v>40</v>
      </c>
      <c r="I96" s="5" t="s">
        <v>48</v>
      </c>
      <c r="J96" s="5" t="n">
        <v>1</v>
      </c>
      <c r="K96" s="5"/>
      <c r="L96" s="6"/>
      <c r="M96" s="6"/>
      <c r="N96" s="6"/>
      <c r="O96" s="6"/>
      <c r="P96" s="5" t="str">
        <f aca="false">IF(M96="","",ROUND(M96*IFERROR(INDEX(Weights!$B$2:$B$4,MATCH(G96,Weights!$A$2:$A$4,0)),0)*IFERROR(INDEX(Weights!$B$7:$B$11,MATCH(E96,Weights!$A$7:$A$11,0)),0)*IFERROR(INDEX(Weights!$B$14:$B$17,MATCH(TEXT(J96,"0"),Weights!$A$14:$A$17,0)),0)/(1+N(N96)/50),1))</f>
        <v/>
      </c>
      <c r="Q96" s="5" t="s">
        <v>42</v>
      </c>
    </row>
    <row r="97" customFormat="false" ht="15" hidden="false" customHeight="false" outlineLevel="0" collapsed="false">
      <c r="A97" s="5" t="n">
        <v>96</v>
      </c>
      <c r="B97" s="5" t="s">
        <v>163</v>
      </c>
      <c r="C97" s="5" t="s">
        <v>51</v>
      </c>
      <c r="D97" s="5" t="s">
        <v>36</v>
      </c>
      <c r="E97" s="5" t="s">
        <v>37</v>
      </c>
      <c r="F97" s="5" t="s">
        <v>158</v>
      </c>
      <c r="G97" s="5" t="s">
        <v>39</v>
      </c>
      <c r="H97" s="5" t="s">
        <v>40</v>
      </c>
      <c r="I97" s="5" t="s">
        <v>52</v>
      </c>
      <c r="J97" s="5" t="n">
        <v>1</v>
      </c>
      <c r="K97" s="5"/>
      <c r="L97" s="6"/>
      <c r="M97" s="6"/>
      <c r="N97" s="6"/>
      <c r="O97" s="6"/>
      <c r="P97" s="5" t="str">
        <f aca="false">IF(M97="","",ROUND(M97*IFERROR(INDEX(Weights!$B$2:$B$4,MATCH(G97,Weights!$A$2:$A$4,0)),0)*IFERROR(INDEX(Weights!$B$7:$B$11,MATCH(E97,Weights!$A$7:$A$11,0)),0)*IFERROR(INDEX(Weights!$B$14:$B$17,MATCH(TEXT(J97,"0"),Weights!$A$14:$A$17,0)),0)/(1+N(N97)/50),1))</f>
        <v/>
      </c>
      <c r="Q97" s="5" t="s">
        <v>42</v>
      </c>
    </row>
    <row r="98" customFormat="false" ht="15" hidden="false" customHeight="false" outlineLevel="0" collapsed="false">
      <c r="A98" s="5" t="n">
        <v>97</v>
      </c>
      <c r="B98" s="5" t="s">
        <v>164</v>
      </c>
      <c r="C98" s="5" t="s">
        <v>54</v>
      </c>
      <c r="D98" s="5" t="s">
        <v>36</v>
      </c>
      <c r="E98" s="5" t="s">
        <v>37</v>
      </c>
      <c r="F98" s="5" t="s">
        <v>158</v>
      </c>
      <c r="G98" s="5" t="s">
        <v>39</v>
      </c>
      <c r="H98" s="5" t="s">
        <v>40</v>
      </c>
      <c r="I98" s="5" t="s">
        <v>55</v>
      </c>
      <c r="J98" s="5" t="n">
        <v>1</v>
      </c>
      <c r="K98" s="5"/>
      <c r="L98" s="6"/>
      <c r="M98" s="6"/>
      <c r="N98" s="6"/>
      <c r="O98" s="6"/>
      <c r="P98" s="5" t="str">
        <f aca="false">IF(M98="","",ROUND(M98*IFERROR(INDEX(Weights!$B$2:$B$4,MATCH(G98,Weights!$A$2:$A$4,0)),0)*IFERROR(INDEX(Weights!$B$7:$B$11,MATCH(E98,Weights!$A$7:$A$11,0)),0)*IFERROR(INDEX(Weights!$B$14:$B$17,MATCH(TEXT(J98,"0"),Weights!$A$14:$A$17,0)),0)/(1+N(N98)/50),1))</f>
        <v/>
      </c>
      <c r="Q98" s="5" t="s">
        <v>42</v>
      </c>
    </row>
    <row r="99" customFormat="false" ht="15" hidden="false" customHeight="false" outlineLevel="0" collapsed="false">
      <c r="A99" s="5" t="n">
        <v>98</v>
      </c>
      <c r="B99" s="5" t="s">
        <v>165</v>
      </c>
      <c r="C99" s="5" t="s">
        <v>57</v>
      </c>
      <c r="D99" s="5" t="s">
        <v>36</v>
      </c>
      <c r="E99" s="5" t="s">
        <v>37</v>
      </c>
      <c r="F99" s="5" t="s">
        <v>158</v>
      </c>
      <c r="G99" s="5" t="s">
        <v>39</v>
      </c>
      <c r="H99" s="5" t="s">
        <v>40</v>
      </c>
      <c r="I99" s="5" t="s">
        <v>58</v>
      </c>
      <c r="J99" s="5" t="n">
        <v>1</v>
      </c>
      <c r="K99" s="5"/>
      <c r="L99" s="6"/>
      <c r="M99" s="6"/>
      <c r="N99" s="6"/>
      <c r="O99" s="6"/>
      <c r="P99" s="5" t="str">
        <f aca="false">IF(M99="","",ROUND(M99*IFERROR(INDEX(Weights!$B$2:$B$4,MATCH(G99,Weights!$A$2:$A$4,0)),0)*IFERROR(INDEX(Weights!$B$7:$B$11,MATCH(E99,Weights!$A$7:$A$11,0)),0)*IFERROR(INDEX(Weights!$B$14:$B$17,MATCH(TEXT(J99,"0"),Weights!$A$14:$A$17,0)),0)/(1+N(N99)/50),1))</f>
        <v/>
      </c>
      <c r="Q99" s="5" t="s">
        <v>42</v>
      </c>
    </row>
    <row r="100" customFormat="false" ht="15" hidden="false" customHeight="false" outlineLevel="0" collapsed="false">
      <c r="A100" s="5" t="n">
        <v>99</v>
      </c>
      <c r="B100" s="5" t="s">
        <v>166</v>
      </c>
      <c r="C100" s="5" t="s">
        <v>57</v>
      </c>
      <c r="D100" s="5" t="s">
        <v>36</v>
      </c>
      <c r="E100" s="5" t="s">
        <v>37</v>
      </c>
      <c r="F100" s="5" t="s">
        <v>158</v>
      </c>
      <c r="G100" s="5" t="s">
        <v>39</v>
      </c>
      <c r="H100" s="5" t="s">
        <v>40</v>
      </c>
      <c r="I100" s="5" t="s">
        <v>58</v>
      </c>
      <c r="J100" s="5" t="n">
        <v>1</v>
      </c>
      <c r="K100" s="5"/>
      <c r="L100" s="6"/>
      <c r="M100" s="6"/>
      <c r="N100" s="6"/>
      <c r="O100" s="6"/>
      <c r="P100" s="5" t="str">
        <f aca="false">IF(M100="","",ROUND(M100*IFERROR(INDEX(Weights!$B$2:$B$4,MATCH(G100,Weights!$A$2:$A$4,0)),0)*IFERROR(INDEX(Weights!$B$7:$B$11,MATCH(E100,Weights!$A$7:$A$11,0)),0)*IFERROR(INDEX(Weights!$B$14:$B$17,MATCH(TEXT(J100,"0"),Weights!$A$14:$A$17,0)),0)/(1+N(N100)/50),1))</f>
        <v/>
      </c>
      <c r="Q100" s="5" t="s">
        <v>42</v>
      </c>
    </row>
    <row r="101" customFormat="false" ht="15" hidden="false" customHeight="false" outlineLevel="0" collapsed="false">
      <c r="A101" s="5" t="n">
        <v>100</v>
      </c>
      <c r="B101" s="5" t="s">
        <v>167</v>
      </c>
      <c r="C101" s="5" t="s">
        <v>61</v>
      </c>
      <c r="D101" s="5" t="s">
        <v>36</v>
      </c>
      <c r="E101" s="5" t="s">
        <v>37</v>
      </c>
      <c r="F101" s="5" t="s">
        <v>158</v>
      </c>
      <c r="G101" s="5" t="s">
        <v>39</v>
      </c>
      <c r="H101" s="5" t="s">
        <v>40</v>
      </c>
      <c r="I101" s="5" t="s">
        <v>62</v>
      </c>
      <c r="J101" s="5" t="n">
        <v>2</v>
      </c>
      <c r="K101" s="5"/>
      <c r="L101" s="6"/>
      <c r="M101" s="6"/>
      <c r="N101" s="6"/>
      <c r="O101" s="6"/>
      <c r="P101" s="5" t="str">
        <f aca="false">IF(M101="","",ROUND(M101*IFERROR(INDEX(Weights!$B$2:$B$4,MATCH(G101,Weights!$A$2:$A$4,0)),0)*IFERROR(INDEX(Weights!$B$7:$B$11,MATCH(E101,Weights!$A$7:$A$11,0)),0)*IFERROR(INDEX(Weights!$B$14:$B$17,MATCH(TEXT(J101,"0"),Weights!$A$14:$A$17,0)),0)/(1+N(N101)/50),1))</f>
        <v/>
      </c>
      <c r="Q101" s="5" t="s">
        <v>42</v>
      </c>
    </row>
    <row r="102" customFormat="false" ht="15" hidden="false" customHeight="false" outlineLevel="0" collapsed="false">
      <c r="A102" s="5" t="n">
        <v>101</v>
      </c>
      <c r="B102" s="5" t="s">
        <v>168</v>
      </c>
      <c r="C102" s="5" t="s">
        <v>64</v>
      </c>
      <c r="D102" s="5" t="s">
        <v>36</v>
      </c>
      <c r="E102" s="5" t="s">
        <v>37</v>
      </c>
      <c r="F102" s="5" t="s">
        <v>158</v>
      </c>
      <c r="G102" s="5" t="s">
        <v>39</v>
      </c>
      <c r="H102" s="5" t="s">
        <v>40</v>
      </c>
      <c r="I102" s="5" t="s">
        <v>64</v>
      </c>
      <c r="J102" s="5" t="n">
        <v>2</v>
      </c>
      <c r="K102" s="5"/>
      <c r="L102" s="6"/>
      <c r="M102" s="6"/>
      <c r="N102" s="6"/>
      <c r="O102" s="6"/>
      <c r="P102" s="5" t="str">
        <f aca="false">IF(M102="","",ROUND(M102*IFERROR(INDEX(Weights!$B$2:$B$4,MATCH(G102,Weights!$A$2:$A$4,0)),0)*IFERROR(INDEX(Weights!$B$7:$B$11,MATCH(E102,Weights!$A$7:$A$11,0)),0)*IFERROR(INDEX(Weights!$B$14:$B$17,MATCH(TEXT(J102,"0"),Weights!$A$14:$A$17,0)),0)/(1+N(N102)/50),1))</f>
        <v/>
      </c>
      <c r="Q102" s="5" t="s">
        <v>42</v>
      </c>
    </row>
    <row r="103" customFormat="false" ht="15" hidden="false" customHeight="false" outlineLevel="0" collapsed="false">
      <c r="A103" s="5" t="n">
        <v>102</v>
      </c>
      <c r="B103" s="5" t="s">
        <v>169</v>
      </c>
      <c r="C103" s="5" t="s">
        <v>66</v>
      </c>
      <c r="D103" s="5" t="s">
        <v>36</v>
      </c>
      <c r="E103" s="5" t="s">
        <v>37</v>
      </c>
      <c r="F103" s="5" t="s">
        <v>158</v>
      </c>
      <c r="G103" s="5" t="s">
        <v>39</v>
      </c>
      <c r="H103" s="5" t="s">
        <v>40</v>
      </c>
      <c r="I103" s="5" t="s">
        <v>67</v>
      </c>
      <c r="J103" s="5" t="n">
        <v>3</v>
      </c>
      <c r="K103" s="5"/>
      <c r="L103" s="6"/>
      <c r="M103" s="6"/>
      <c r="N103" s="6"/>
      <c r="O103" s="6"/>
      <c r="P103" s="5" t="str">
        <f aca="false">IF(M103="","",ROUND(M103*IFERROR(INDEX(Weights!$B$2:$B$4,MATCH(G103,Weights!$A$2:$A$4,0)),0)*IFERROR(INDEX(Weights!$B$7:$B$11,MATCH(E103,Weights!$A$7:$A$11,0)),0)*IFERROR(INDEX(Weights!$B$14:$B$17,MATCH(TEXT(J103,"0"),Weights!$A$14:$A$17,0)),0)/(1+N(N103)/50),1))</f>
        <v/>
      </c>
      <c r="Q103" s="5" t="s">
        <v>42</v>
      </c>
    </row>
    <row r="104" customFormat="false" ht="15" hidden="false" customHeight="false" outlineLevel="0" collapsed="false">
      <c r="A104" s="5" t="n">
        <v>103</v>
      </c>
      <c r="B104" s="5" t="s">
        <v>170</v>
      </c>
      <c r="C104" s="5" t="s">
        <v>69</v>
      </c>
      <c r="D104" s="5" t="s">
        <v>36</v>
      </c>
      <c r="E104" s="5" t="s">
        <v>37</v>
      </c>
      <c r="F104" s="5" t="s">
        <v>158</v>
      </c>
      <c r="G104" s="5" t="s">
        <v>39</v>
      </c>
      <c r="H104" s="5" t="s">
        <v>40</v>
      </c>
      <c r="I104" s="5" t="s">
        <v>70</v>
      </c>
      <c r="J104" s="5" t="n">
        <v>3</v>
      </c>
      <c r="K104" s="5"/>
      <c r="L104" s="6"/>
      <c r="M104" s="6"/>
      <c r="N104" s="6"/>
      <c r="O104" s="6"/>
      <c r="P104" s="5" t="str">
        <f aca="false">IF(M104="","",ROUND(M104*IFERROR(INDEX(Weights!$B$2:$B$4,MATCH(G104,Weights!$A$2:$A$4,0)),0)*IFERROR(INDEX(Weights!$B$7:$B$11,MATCH(E104,Weights!$A$7:$A$11,0)),0)*IFERROR(INDEX(Weights!$B$14:$B$17,MATCH(TEXT(J104,"0"),Weights!$A$14:$A$17,0)),0)/(1+N(N104)/50),1))</f>
        <v/>
      </c>
      <c r="Q104" s="5" t="s">
        <v>42</v>
      </c>
    </row>
    <row r="105" customFormat="false" ht="15" hidden="false" customHeight="false" outlineLevel="0" collapsed="false">
      <c r="A105" s="5" t="n">
        <v>104</v>
      </c>
      <c r="B105" s="5" t="s">
        <v>171</v>
      </c>
      <c r="C105" s="5" t="s">
        <v>69</v>
      </c>
      <c r="D105" s="5" t="s">
        <v>36</v>
      </c>
      <c r="E105" s="5" t="s">
        <v>37</v>
      </c>
      <c r="F105" s="5" t="s">
        <v>158</v>
      </c>
      <c r="G105" s="5" t="s">
        <v>39</v>
      </c>
      <c r="H105" s="5" t="s">
        <v>40</v>
      </c>
      <c r="I105" s="5" t="s">
        <v>70</v>
      </c>
      <c r="J105" s="5" t="n">
        <v>3</v>
      </c>
      <c r="K105" s="5"/>
      <c r="L105" s="6"/>
      <c r="M105" s="6"/>
      <c r="N105" s="6"/>
      <c r="O105" s="6"/>
      <c r="P105" s="5" t="str">
        <f aca="false">IF(M105="","",ROUND(M105*IFERROR(INDEX(Weights!$B$2:$B$4,MATCH(G105,Weights!$A$2:$A$4,0)),0)*IFERROR(INDEX(Weights!$B$7:$B$11,MATCH(E105,Weights!$A$7:$A$11,0)),0)*IFERROR(INDEX(Weights!$B$14:$B$17,MATCH(TEXT(J105,"0"),Weights!$A$14:$A$17,0)),0)/(1+N(N105)/50),1))</f>
        <v/>
      </c>
      <c r="Q105" s="5" t="s">
        <v>42</v>
      </c>
    </row>
    <row r="106" customFormat="false" ht="15" hidden="false" customHeight="false" outlineLevel="0" collapsed="false">
      <c r="A106" s="5" t="n">
        <v>105</v>
      </c>
      <c r="B106" s="5" t="s">
        <v>172</v>
      </c>
      <c r="C106" s="5" t="s">
        <v>64</v>
      </c>
      <c r="D106" s="5" t="s">
        <v>36</v>
      </c>
      <c r="E106" s="5" t="s">
        <v>37</v>
      </c>
      <c r="F106" s="5" t="s">
        <v>158</v>
      </c>
      <c r="G106" s="5" t="s">
        <v>39</v>
      </c>
      <c r="H106" s="5" t="s">
        <v>40</v>
      </c>
      <c r="I106" s="5" t="s">
        <v>64</v>
      </c>
      <c r="J106" s="5" t="n">
        <v>2</v>
      </c>
      <c r="K106" s="5"/>
      <c r="L106" s="6"/>
      <c r="M106" s="6"/>
      <c r="N106" s="6"/>
      <c r="O106" s="6"/>
      <c r="P106" s="5" t="str">
        <f aca="false">IF(M106="","",ROUND(M106*IFERROR(INDEX(Weights!$B$2:$B$4,MATCH(G106,Weights!$A$2:$A$4,0)),0)*IFERROR(INDEX(Weights!$B$7:$B$11,MATCH(E106,Weights!$A$7:$A$11,0)),0)*IFERROR(INDEX(Weights!$B$14:$B$17,MATCH(TEXT(J106,"0"),Weights!$A$14:$A$17,0)),0)/(1+N(N106)/50),1))</f>
        <v/>
      </c>
      <c r="Q106" s="5" t="s">
        <v>42</v>
      </c>
    </row>
    <row r="107" customFormat="false" ht="15" hidden="false" customHeight="false" outlineLevel="0" collapsed="false">
      <c r="A107" s="5" t="n">
        <v>106</v>
      </c>
      <c r="B107" s="5" t="s">
        <v>173</v>
      </c>
      <c r="C107" s="5" t="s">
        <v>74</v>
      </c>
      <c r="D107" s="5" t="s">
        <v>36</v>
      </c>
      <c r="E107" s="5" t="s">
        <v>37</v>
      </c>
      <c r="F107" s="5" t="s">
        <v>158</v>
      </c>
      <c r="G107" s="5" t="s">
        <v>39</v>
      </c>
      <c r="H107" s="5" t="s">
        <v>40</v>
      </c>
      <c r="I107" s="5" t="s">
        <v>75</v>
      </c>
      <c r="J107" s="5" t="n">
        <v>2</v>
      </c>
      <c r="K107" s="5"/>
      <c r="L107" s="6"/>
      <c r="M107" s="6"/>
      <c r="N107" s="6"/>
      <c r="O107" s="6"/>
      <c r="P107" s="5" t="str">
        <f aca="false">IF(M107="","",ROUND(M107*IFERROR(INDEX(Weights!$B$2:$B$4,MATCH(G107,Weights!$A$2:$A$4,0)),0)*IFERROR(INDEX(Weights!$B$7:$B$11,MATCH(E107,Weights!$A$7:$A$11,0)),0)*IFERROR(INDEX(Weights!$B$14:$B$17,MATCH(TEXT(J107,"0"),Weights!$A$14:$A$17,0)),0)/(1+N(N107)/50),1))</f>
        <v/>
      </c>
      <c r="Q107" s="5" t="s">
        <v>42</v>
      </c>
    </row>
    <row r="108" customFormat="false" ht="15" hidden="false" customHeight="false" outlineLevel="0" collapsed="false">
      <c r="A108" s="5" t="n">
        <v>107</v>
      </c>
      <c r="B108" s="5" t="s">
        <v>174</v>
      </c>
      <c r="C108" s="5" t="s">
        <v>74</v>
      </c>
      <c r="D108" s="5" t="s">
        <v>36</v>
      </c>
      <c r="E108" s="5" t="s">
        <v>37</v>
      </c>
      <c r="F108" s="5" t="s">
        <v>158</v>
      </c>
      <c r="G108" s="5" t="s">
        <v>39</v>
      </c>
      <c r="H108" s="5" t="s">
        <v>40</v>
      </c>
      <c r="I108" s="5" t="s">
        <v>75</v>
      </c>
      <c r="J108" s="5" t="n">
        <v>2</v>
      </c>
      <c r="K108" s="5"/>
      <c r="L108" s="6"/>
      <c r="M108" s="6"/>
      <c r="N108" s="6"/>
      <c r="O108" s="6"/>
      <c r="P108" s="5" t="str">
        <f aca="false">IF(M108="","",ROUND(M108*IFERROR(INDEX(Weights!$B$2:$B$4,MATCH(G108,Weights!$A$2:$A$4,0)),0)*IFERROR(INDEX(Weights!$B$7:$B$11,MATCH(E108,Weights!$A$7:$A$11,0)),0)*IFERROR(INDEX(Weights!$B$14:$B$17,MATCH(TEXT(J108,"0"),Weights!$A$14:$A$17,0)),0)/(1+N(N108)/50),1))</f>
        <v/>
      </c>
      <c r="Q108" s="5" t="s">
        <v>42</v>
      </c>
    </row>
    <row r="109" customFormat="false" ht="15" hidden="false" customHeight="false" outlineLevel="0" collapsed="false">
      <c r="A109" s="5" t="n">
        <v>108</v>
      </c>
      <c r="B109" s="5" t="s">
        <v>175</v>
      </c>
      <c r="C109" s="5" t="s">
        <v>78</v>
      </c>
      <c r="D109" s="5" t="s">
        <v>36</v>
      </c>
      <c r="E109" s="5" t="s">
        <v>37</v>
      </c>
      <c r="F109" s="5" t="s">
        <v>158</v>
      </c>
      <c r="G109" s="5" t="s">
        <v>39</v>
      </c>
      <c r="H109" s="5" t="s">
        <v>40</v>
      </c>
      <c r="I109" s="5" t="s">
        <v>79</v>
      </c>
      <c r="J109" s="5" t="n">
        <v>2</v>
      </c>
      <c r="K109" s="5"/>
      <c r="L109" s="6"/>
      <c r="M109" s="6"/>
      <c r="N109" s="6"/>
      <c r="O109" s="6"/>
      <c r="P109" s="5" t="str">
        <f aca="false">IF(M109="","",ROUND(M109*IFERROR(INDEX(Weights!$B$2:$B$4,MATCH(G109,Weights!$A$2:$A$4,0)),0)*IFERROR(INDEX(Weights!$B$7:$B$11,MATCH(E109,Weights!$A$7:$A$11,0)),0)*IFERROR(INDEX(Weights!$B$14:$B$17,MATCH(TEXT(J109,"0"),Weights!$A$14:$A$17,0)),0)/(1+N(N109)/50),1))</f>
        <v/>
      </c>
      <c r="Q109" s="5" t="s">
        <v>42</v>
      </c>
    </row>
    <row r="110" customFormat="false" ht="15" hidden="false" customHeight="false" outlineLevel="0" collapsed="false">
      <c r="A110" s="5" t="n">
        <v>109</v>
      </c>
      <c r="B110" s="5" t="s">
        <v>176</v>
      </c>
      <c r="C110" s="5" t="s">
        <v>35</v>
      </c>
      <c r="D110" s="5" t="s">
        <v>36</v>
      </c>
      <c r="E110" s="5" t="s">
        <v>37</v>
      </c>
      <c r="F110" s="5" t="s">
        <v>177</v>
      </c>
      <c r="G110" s="5" t="s">
        <v>39</v>
      </c>
      <c r="H110" s="5" t="s">
        <v>40</v>
      </c>
      <c r="I110" s="5" t="s">
        <v>41</v>
      </c>
      <c r="J110" s="5" t="n">
        <v>1</v>
      </c>
      <c r="K110" s="5"/>
      <c r="L110" s="6"/>
      <c r="M110" s="6"/>
      <c r="N110" s="6"/>
      <c r="O110" s="6"/>
      <c r="P110" s="5" t="str">
        <f aca="false">IF(M110="","",ROUND(M110*IFERROR(INDEX(Weights!$B$2:$B$4,MATCH(G110,Weights!$A$2:$A$4,0)),0)*IFERROR(INDEX(Weights!$B$7:$B$11,MATCH(E110,Weights!$A$7:$A$11,0)),0)*IFERROR(INDEX(Weights!$B$14:$B$17,MATCH(TEXT(J110,"0"),Weights!$A$14:$A$17,0)),0)/(1+N(N110)/50),1))</f>
        <v/>
      </c>
      <c r="Q110" s="5" t="s">
        <v>42</v>
      </c>
    </row>
    <row r="111" customFormat="false" ht="15" hidden="false" customHeight="false" outlineLevel="0" collapsed="false">
      <c r="A111" s="5" t="n">
        <v>110</v>
      </c>
      <c r="B111" s="5" t="s">
        <v>178</v>
      </c>
      <c r="C111" s="5" t="s">
        <v>35</v>
      </c>
      <c r="D111" s="5" t="s">
        <v>36</v>
      </c>
      <c r="E111" s="5" t="s">
        <v>37</v>
      </c>
      <c r="F111" s="5" t="s">
        <v>177</v>
      </c>
      <c r="G111" s="5" t="s">
        <v>39</v>
      </c>
      <c r="H111" s="5" t="s">
        <v>40</v>
      </c>
      <c r="I111" s="5" t="s">
        <v>41</v>
      </c>
      <c r="J111" s="5" t="n">
        <v>1</v>
      </c>
      <c r="K111" s="5" t="s">
        <v>121</v>
      </c>
      <c r="L111" s="6"/>
      <c r="M111" s="6"/>
      <c r="N111" s="6"/>
      <c r="O111" s="6"/>
      <c r="P111" s="5" t="str">
        <f aca="false">IF(M111="","",ROUND(M111*IFERROR(INDEX(Weights!$B$2:$B$4,MATCH(G111,Weights!$A$2:$A$4,0)),0)*IFERROR(INDEX(Weights!$B$7:$B$11,MATCH(E111,Weights!$A$7:$A$11,0)),0)*IFERROR(INDEX(Weights!$B$14:$B$17,MATCH(TEXT(J111,"0"),Weights!$A$14:$A$17,0)),0)/(1+N(N111)/50),1))</f>
        <v/>
      </c>
      <c r="Q111" s="5" t="s">
        <v>122</v>
      </c>
    </row>
    <row r="112" customFormat="false" ht="15" hidden="false" customHeight="false" outlineLevel="0" collapsed="false">
      <c r="A112" s="5" t="n">
        <v>111</v>
      </c>
      <c r="B112" s="5" t="s">
        <v>179</v>
      </c>
      <c r="C112" s="5" t="s">
        <v>35</v>
      </c>
      <c r="D112" s="5" t="s">
        <v>36</v>
      </c>
      <c r="E112" s="5" t="s">
        <v>37</v>
      </c>
      <c r="F112" s="5" t="s">
        <v>177</v>
      </c>
      <c r="G112" s="5" t="s">
        <v>39</v>
      </c>
      <c r="H112" s="5" t="s">
        <v>40</v>
      </c>
      <c r="I112" s="5" t="s">
        <v>44</v>
      </c>
      <c r="J112" s="5" t="n">
        <v>1</v>
      </c>
      <c r="K112" s="5"/>
      <c r="L112" s="6"/>
      <c r="M112" s="6"/>
      <c r="N112" s="6"/>
      <c r="O112" s="6"/>
      <c r="P112" s="5" t="str">
        <f aca="false">IF(M112="","",ROUND(M112*IFERROR(INDEX(Weights!$B$2:$B$4,MATCH(G112,Weights!$A$2:$A$4,0)),0)*IFERROR(INDEX(Weights!$B$7:$B$11,MATCH(E112,Weights!$A$7:$A$11,0)),0)*IFERROR(INDEX(Weights!$B$14:$B$17,MATCH(TEXT(J112,"0"),Weights!$A$14:$A$17,0)),0)/(1+N(N112)/50),1))</f>
        <v/>
      </c>
      <c r="Q112" s="5" t="s">
        <v>42</v>
      </c>
    </row>
    <row r="113" customFormat="false" ht="15" hidden="false" customHeight="false" outlineLevel="0" collapsed="false">
      <c r="A113" s="5" t="n">
        <v>112</v>
      </c>
      <c r="B113" s="5" t="s">
        <v>180</v>
      </c>
      <c r="C113" s="5" t="s">
        <v>35</v>
      </c>
      <c r="D113" s="5" t="s">
        <v>36</v>
      </c>
      <c r="E113" s="5" t="s">
        <v>37</v>
      </c>
      <c r="F113" s="5" t="s">
        <v>177</v>
      </c>
      <c r="G113" s="5" t="s">
        <v>39</v>
      </c>
      <c r="H113" s="5" t="s">
        <v>40</v>
      </c>
      <c r="I113" s="5" t="s">
        <v>44</v>
      </c>
      <c r="J113" s="5" t="n">
        <v>1</v>
      </c>
      <c r="K113" s="5" t="s">
        <v>121</v>
      </c>
      <c r="L113" s="6"/>
      <c r="M113" s="6"/>
      <c r="N113" s="6"/>
      <c r="O113" s="6"/>
      <c r="P113" s="5" t="str">
        <f aca="false">IF(M113="","",ROUND(M113*IFERROR(INDEX(Weights!$B$2:$B$4,MATCH(G113,Weights!$A$2:$A$4,0)),0)*IFERROR(INDEX(Weights!$B$7:$B$11,MATCH(E113,Weights!$A$7:$A$11,0)),0)*IFERROR(INDEX(Weights!$B$14:$B$17,MATCH(TEXT(J113,"0"),Weights!$A$14:$A$17,0)),0)/(1+N(N113)/50),1))</f>
        <v/>
      </c>
      <c r="Q113" s="5" t="s">
        <v>122</v>
      </c>
    </row>
    <row r="114" customFormat="false" ht="15" hidden="false" customHeight="false" outlineLevel="0" collapsed="false">
      <c r="A114" s="5" t="n">
        <v>113</v>
      </c>
      <c r="B114" s="5" t="s">
        <v>181</v>
      </c>
      <c r="C114" s="5" t="s">
        <v>35</v>
      </c>
      <c r="D114" s="5" t="s">
        <v>36</v>
      </c>
      <c r="E114" s="5" t="s">
        <v>37</v>
      </c>
      <c r="F114" s="5" t="s">
        <v>177</v>
      </c>
      <c r="G114" s="5" t="s">
        <v>39</v>
      </c>
      <c r="H114" s="5" t="s">
        <v>40</v>
      </c>
      <c r="I114" s="5" t="s">
        <v>44</v>
      </c>
      <c r="J114" s="5" t="n">
        <v>1</v>
      </c>
      <c r="K114" s="5"/>
      <c r="L114" s="6"/>
      <c r="M114" s="6"/>
      <c r="N114" s="6"/>
      <c r="O114" s="6"/>
      <c r="P114" s="5" t="str">
        <f aca="false">IF(M114="","",ROUND(M114*IFERROR(INDEX(Weights!$B$2:$B$4,MATCH(G114,Weights!$A$2:$A$4,0)),0)*IFERROR(INDEX(Weights!$B$7:$B$11,MATCH(E114,Weights!$A$7:$A$11,0)),0)*IFERROR(INDEX(Weights!$B$14:$B$17,MATCH(TEXT(J114,"0"),Weights!$A$14:$A$17,0)),0)/(1+N(N114)/50),1))</f>
        <v/>
      </c>
      <c r="Q114" s="5" t="s">
        <v>42</v>
      </c>
    </row>
    <row r="115" customFormat="false" ht="15" hidden="false" customHeight="false" outlineLevel="0" collapsed="false">
      <c r="A115" s="5" t="n">
        <v>114</v>
      </c>
      <c r="B115" s="5" t="s">
        <v>182</v>
      </c>
      <c r="C115" s="5" t="s">
        <v>35</v>
      </c>
      <c r="D115" s="5" t="s">
        <v>36</v>
      </c>
      <c r="E115" s="5" t="s">
        <v>37</v>
      </c>
      <c r="F115" s="5" t="s">
        <v>177</v>
      </c>
      <c r="G115" s="5" t="s">
        <v>39</v>
      </c>
      <c r="H115" s="5" t="s">
        <v>40</v>
      </c>
      <c r="I115" s="5" t="s">
        <v>44</v>
      </c>
      <c r="J115" s="5" t="n">
        <v>1</v>
      </c>
      <c r="K115" s="5" t="s">
        <v>121</v>
      </c>
      <c r="L115" s="6"/>
      <c r="M115" s="6"/>
      <c r="N115" s="6"/>
      <c r="O115" s="6"/>
      <c r="P115" s="5" t="str">
        <f aca="false">IF(M115="","",ROUND(M115*IFERROR(INDEX(Weights!$B$2:$B$4,MATCH(G115,Weights!$A$2:$A$4,0)),0)*IFERROR(INDEX(Weights!$B$7:$B$11,MATCH(E115,Weights!$A$7:$A$11,0)),0)*IFERROR(INDEX(Weights!$B$14:$B$17,MATCH(TEXT(J115,"0"),Weights!$A$14:$A$17,0)),0)/(1+N(N115)/50),1))</f>
        <v/>
      </c>
      <c r="Q115" s="5" t="s">
        <v>122</v>
      </c>
    </row>
    <row r="116" customFormat="false" ht="15" hidden="false" customHeight="false" outlineLevel="0" collapsed="false">
      <c r="A116" s="5" t="n">
        <v>115</v>
      </c>
      <c r="B116" s="5" t="s">
        <v>183</v>
      </c>
      <c r="C116" s="5" t="s">
        <v>47</v>
      </c>
      <c r="D116" s="5" t="s">
        <v>36</v>
      </c>
      <c r="E116" s="5" t="s">
        <v>37</v>
      </c>
      <c r="F116" s="5" t="s">
        <v>177</v>
      </c>
      <c r="G116" s="5" t="s">
        <v>39</v>
      </c>
      <c r="H116" s="5" t="s">
        <v>40</v>
      </c>
      <c r="I116" s="5" t="s">
        <v>48</v>
      </c>
      <c r="J116" s="5" t="n">
        <v>1</v>
      </c>
      <c r="K116" s="5"/>
      <c r="L116" s="6"/>
      <c r="M116" s="6"/>
      <c r="N116" s="6"/>
      <c r="O116" s="6"/>
      <c r="P116" s="5" t="str">
        <f aca="false">IF(M116="","",ROUND(M116*IFERROR(INDEX(Weights!$B$2:$B$4,MATCH(G116,Weights!$A$2:$A$4,0)),0)*IFERROR(INDEX(Weights!$B$7:$B$11,MATCH(E116,Weights!$A$7:$A$11,0)),0)*IFERROR(INDEX(Weights!$B$14:$B$17,MATCH(TEXT(J116,"0"),Weights!$A$14:$A$17,0)),0)/(1+N(N116)/50),1))</f>
        <v/>
      </c>
      <c r="Q116" s="5" t="s">
        <v>42</v>
      </c>
    </row>
    <row r="117" customFormat="false" ht="15" hidden="false" customHeight="false" outlineLevel="0" collapsed="false">
      <c r="A117" s="5" t="n">
        <v>116</v>
      </c>
      <c r="B117" s="5" t="s">
        <v>184</v>
      </c>
      <c r="C117" s="5" t="s">
        <v>47</v>
      </c>
      <c r="D117" s="5" t="s">
        <v>36</v>
      </c>
      <c r="E117" s="5" t="s">
        <v>37</v>
      </c>
      <c r="F117" s="5" t="s">
        <v>177</v>
      </c>
      <c r="G117" s="5" t="s">
        <v>39</v>
      </c>
      <c r="H117" s="5" t="s">
        <v>40</v>
      </c>
      <c r="I117" s="5" t="s">
        <v>48</v>
      </c>
      <c r="J117" s="5" t="n">
        <v>1</v>
      </c>
      <c r="K117" s="5" t="s">
        <v>121</v>
      </c>
      <c r="L117" s="6"/>
      <c r="M117" s="6"/>
      <c r="N117" s="6"/>
      <c r="O117" s="6"/>
      <c r="P117" s="5" t="str">
        <f aca="false">IF(M117="","",ROUND(M117*IFERROR(INDEX(Weights!$B$2:$B$4,MATCH(G117,Weights!$A$2:$A$4,0)),0)*IFERROR(INDEX(Weights!$B$7:$B$11,MATCH(E117,Weights!$A$7:$A$11,0)),0)*IFERROR(INDEX(Weights!$B$14:$B$17,MATCH(TEXT(J117,"0"),Weights!$A$14:$A$17,0)),0)/(1+N(N117)/50),1))</f>
        <v/>
      </c>
      <c r="Q117" s="5" t="s">
        <v>122</v>
      </c>
    </row>
    <row r="118" customFormat="false" ht="15" hidden="false" customHeight="false" outlineLevel="0" collapsed="false">
      <c r="A118" s="5" t="n">
        <v>117</v>
      </c>
      <c r="B118" s="5" t="s">
        <v>185</v>
      </c>
      <c r="C118" s="5" t="s">
        <v>47</v>
      </c>
      <c r="D118" s="5" t="s">
        <v>36</v>
      </c>
      <c r="E118" s="5" t="s">
        <v>37</v>
      </c>
      <c r="F118" s="5" t="s">
        <v>177</v>
      </c>
      <c r="G118" s="5" t="s">
        <v>39</v>
      </c>
      <c r="H118" s="5" t="s">
        <v>40</v>
      </c>
      <c r="I118" s="5" t="s">
        <v>48</v>
      </c>
      <c r="J118" s="5" t="n">
        <v>1</v>
      </c>
      <c r="K118" s="5"/>
      <c r="L118" s="6"/>
      <c r="M118" s="6"/>
      <c r="N118" s="6"/>
      <c r="O118" s="6"/>
      <c r="P118" s="5" t="str">
        <f aca="false">IF(M118="","",ROUND(M118*IFERROR(INDEX(Weights!$B$2:$B$4,MATCH(G118,Weights!$A$2:$A$4,0)),0)*IFERROR(INDEX(Weights!$B$7:$B$11,MATCH(E118,Weights!$A$7:$A$11,0)),0)*IFERROR(INDEX(Weights!$B$14:$B$17,MATCH(TEXT(J118,"0"),Weights!$A$14:$A$17,0)),0)/(1+N(N118)/50),1))</f>
        <v/>
      </c>
      <c r="Q118" s="5" t="s">
        <v>42</v>
      </c>
    </row>
    <row r="119" customFormat="false" ht="15" hidden="false" customHeight="false" outlineLevel="0" collapsed="false">
      <c r="A119" s="5" t="n">
        <v>118</v>
      </c>
      <c r="B119" s="5" t="s">
        <v>186</v>
      </c>
      <c r="C119" s="5" t="s">
        <v>47</v>
      </c>
      <c r="D119" s="5" t="s">
        <v>36</v>
      </c>
      <c r="E119" s="5" t="s">
        <v>37</v>
      </c>
      <c r="F119" s="5" t="s">
        <v>177</v>
      </c>
      <c r="G119" s="5" t="s">
        <v>39</v>
      </c>
      <c r="H119" s="5" t="s">
        <v>40</v>
      </c>
      <c r="I119" s="5" t="s">
        <v>48</v>
      </c>
      <c r="J119" s="5" t="n">
        <v>1</v>
      </c>
      <c r="K119" s="5" t="s">
        <v>121</v>
      </c>
      <c r="L119" s="6"/>
      <c r="M119" s="6"/>
      <c r="N119" s="6"/>
      <c r="O119" s="6"/>
      <c r="P119" s="5" t="str">
        <f aca="false">IF(M119="","",ROUND(M119*IFERROR(INDEX(Weights!$B$2:$B$4,MATCH(G119,Weights!$A$2:$A$4,0)),0)*IFERROR(INDEX(Weights!$B$7:$B$11,MATCH(E119,Weights!$A$7:$A$11,0)),0)*IFERROR(INDEX(Weights!$B$14:$B$17,MATCH(TEXT(J119,"0"),Weights!$A$14:$A$17,0)),0)/(1+N(N119)/50),1))</f>
        <v/>
      </c>
      <c r="Q119" s="5" t="s">
        <v>122</v>
      </c>
    </row>
    <row r="120" customFormat="false" ht="15" hidden="false" customHeight="false" outlineLevel="0" collapsed="false">
      <c r="A120" s="5" t="n">
        <v>119</v>
      </c>
      <c r="B120" s="5" t="s">
        <v>187</v>
      </c>
      <c r="C120" s="5" t="s">
        <v>51</v>
      </c>
      <c r="D120" s="5" t="s">
        <v>36</v>
      </c>
      <c r="E120" s="5" t="s">
        <v>37</v>
      </c>
      <c r="F120" s="5" t="s">
        <v>177</v>
      </c>
      <c r="G120" s="5" t="s">
        <v>39</v>
      </c>
      <c r="H120" s="5" t="s">
        <v>40</v>
      </c>
      <c r="I120" s="5" t="s">
        <v>52</v>
      </c>
      <c r="J120" s="5" t="n">
        <v>1</v>
      </c>
      <c r="K120" s="5"/>
      <c r="L120" s="6"/>
      <c r="M120" s="6"/>
      <c r="N120" s="6"/>
      <c r="O120" s="6"/>
      <c r="P120" s="5" t="str">
        <f aca="false">IF(M120="","",ROUND(M120*IFERROR(INDEX(Weights!$B$2:$B$4,MATCH(G120,Weights!$A$2:$A$4,0)),0)*IFERROR(INDEX(Weights!$B$7:$B$11,MATCH(E120,Weights!$A$7:$A$11,0)),0)*IFERROR(INDEX(Weights!$B$14:$B$17,MATCH(TEXT(J120,"0"),Weights!$A$14:$A$17,0)),0)/(1+N(N120)/50),1))</f>
        <v/>
      </c>
      <c r="Q120" s="5" t="s">
        <v>42</v>
      </c>
    </row>
    <row r="121" customFormat="false" ht="15" hidden="false" customHeight="false" outlineLevel="0" collapsed="false">
      <c r="A121" s="5" t="n">
        <v>120</v>
      </c>
      <c r="B121" s="5" t="s">
        <v>188</v>
      </c>
      <c r="C121" s="5" t="s">
        <v>51</v>
      </c>
      <c r="D121" s="5" t="s">
        <v>36</v>
      </c>
      <c r="E121" s="5" t="s">
        <v>37</v>
      </c>
      <c r="F121" s="5" t="s">
        <v>177</v>
      </c>
      <c r="G121" s="5" t="s">
        <v>39</v>
      </c>
      <c r="H121" s="5" t="s">
        <v>40</v>
      </c>
      <c r="I121" s="5" t="s">
        <v>52</v>
      </c>
      <c r="J121" s="5" t="n">
        <v>1</v>
      </c>
      <c r="K121" s="5" t="s">
        <v>121</v>
      </c>
      <c r="L121" s="6"/>
      <c r="M121" s="6"/>
      <c r="N121" s="6"/>
      <c r="O121" s="6"/>
      <c r="P121" s="5" t="str">
        <f aca="false">IF(M121="","",ROUND(M121*IFERROR(INDEX(Weights!$B$2:$B$4,MATCH(G121,Weights!$A$2:$A$4,0)),0)*IFERROR(INDEX(Weights!$B$7:$B$11,MATCH(E121,Weights!$A$7:$A$11,0)),0)*IFERROR(INDEX(Weights!$B$14:$B$17,MATCH(TEXT(J121,"0"),Weights!$A$14:$A$17,0)),0)/(1+N(N121)/50),1))</f>
        <v/>
      </c>
      <c r="Q121" s="5" t="s">
        <v>122</v>
      </c>
    </row>
    <row r="122" customFormat="false" ht="15" hidden="false" customHeight="false" outlineLevel="0" collapsed="false">
      <c r="A122" s="5" t="n">
        <v>121</v>
      </c>
      <c r="B122" s="5" t="s">
        <v>189</v>
      </c>
      <c r="C122" s="5" t="s">
        <v>54</v>
      </c>
      <c r="D122" s="5" t="s">
        <v>36</v>
      </c>
      <c r="E122" s="5" t="s">
        <v>37</v>
      </c>
      <c r="F122" s="5" t="s">
        <v>177</v>
      </c>
      <c r="G122" s="5" t="s">
        <v>39</v>
      </c>
      <c r="H122" s="5" t="s">
        <v>40</v>
      </c>
      <c r="I122" s="5" t="s">
        <v>55</v>
      </c>
      <c r="J122" s="5" t="n">
        <v>1</v>
      </c>
      <c r="K122" s="5"/>
      <c r="L122" s="6"/>
      <c r="M122" s="6"/>
      <c r="N122" s="6"/>
      <c r="O122" s="6"/>
      <c r="P122" s="5" t="str">
        <f aca="false">IF(M122="","",ROUND(M122*IFERROR(INDEX(Weights!$B$2:$B$4,MATCH(G122,Weights!$A$2:$A$4,0)),0)*IFERROR(INDEX(Weights!$B$7:$B$11,MATCH(E122,Weights!$A$7:$A$11,0)),0)*IFERROR(INDEX(Weights!$B$14:$B$17,MATCH(TEXT(J122,"0"),Weights!$A$14:$A$17,0)),0)/(1+N(N122)/50),1))</f>
        <v/>
      </c>
      <c r="Q122" s="5" t="s">
        <v>42</v>
      </c>
    </row>
    <row r="123" customFormat="false" ht="15" hidden="false" customHeight="false" outlineLevel="0" collapsed="false">
      <c r="A123" s="5" t="n">
        <v>122</v>
      </c>
      <c r="B123" s="5" t="s">
        <v>190</v>
      </c>
      <c r="C123" s="5" t="s">
        <v>54</v>
      </c>
      <c r="D123" s="5" t="s">
        <v>36</v>
      </c>
      <c r="E123" s="5" t="s">
        <v>37</v>
      </c>
      <c r="F123" s="5" t="s">
        <v>177</v>
      </c>
      <c r="G123" s="5" t="s">
        <v>39</v>
      </c>
      <c r="H123" s="5" t="s">
        <v>40</v>
      </c>
      <c r="I123" s="5" t="s">
        <v>55</v>
      </c>
      <c r="J123" s="5" t="n">
        <v>1</v>
      </c>
      <c r="K123" s="5" t="s">
        <v>121</v>
      </c>
      <c r="L123" s="6"/>
      <c r="M123" s="6"/>
      <c r="N123" s="6"/>
      <c r="O123" s="6"/>
      <c r="P123" s="5" t="str">
        <f aca="false">IF(M123="","",ROUND(M123*IFERROR(INDEX(Weights!$B$2:$B$4,MATCH(G123,Weights!$A$2:$A$4,0)),0)*IFERROR(INDEX(Weights!$B$7:$B$11,MATCH(E123,Weights!$A$7:$A$11,0)),0)*IFERROR(INDEX(Weights!$B$14:$B$17,MATCH(TEXT(J123,"0"),Weights!$A$14:$A$17,0)),0)/(1+N(N123)/50),1))</f>
        <v/>
      </c>
      <c r="Q123" s="5" t="s">
        <v>122</v>
      </c>
    </row>
    <row r="124" customFormat="false" ht="15" hidden="false" customHeight="false" outlineLevel="0" collapsed="false">
      <c r="A124" s="5" t="n">
        <v>123</v>
      </c>
      <c r="B124" s="5" t="s">
        <v>191</v>
      </c>
      <c r="C124" s="5" t="s">
        <v>57</v>
      </c>
      <c r="D124" s="5" t="s">
        <v>36</v>
      </c>
      <c r="E124" s="5" t="s">
        <v>37</v>
      </c>
      <c r="F124" s="5" t="s">
        <v>177</v>
      </c>
      <c r="G124" s="5" t="s">
        <v>39</v>
      </c>
      <c r="H124" s="5" t="s">
        <v>40</v>
      </c>
      <c r="I124" s="5" t="s">
        <v>58</v>
      </c>
      <c r="J124" s="5" t="n">
        <v>1</v>
      </c>
      <c r="K124" s="5"/>
      <c r="L124" s="6"/>
      <c r="M124" s="6"/>
      <c r="N124" s="6"/>
      <c r="O124" s="6"/>
      <c r="P124" s="5" t="str">
        <f aca="false">IF(M124="","",ROUND(M124*IFERROR(INDEX(Weights!$B$2:$B$4,MATCH(G124,Weights!$A$2:$A$4,0)),0)*IFERROR(INDEX(Weights!$B$7:$B$11,MATCH(E124,Weights!$A$7:$A$11,0)),0)*IFERROR(INDEX(Weights!$B$14:$B$17,MATCH(TEXT(J124,"0"),Weights!$A$14:$A$17,0)),0)/(1+N(N124)/50),1))</f>
        <v/>
      </c>
      <c r="Q124" s="5" t="s">
        <v>42</v>
      </c>
    </row>
    <row r="125" customFormat="false" ht="15" hidden="false" customHeight="false" outlineLevel="0" collapsed="false">
      <c r="A125" s="5" t="n">
        <v>124</v>
      </c>
      <c r="B125" s="5" t="s">
        <v>192</v>
      </c>
      <c r="C125" s="5" t="s">
        <v>57</v>
      </c>
      <c r="D125" s="5" t="s">
        <v>36</v>
      </c>
      <c r="E125" s="5" t="s">
        <v>37</v>
      </c>
      <c r="F125" s="5" t="s">
        <v>177</v>
      </c>
      <c r="G125" s="5" t="s">
        <v>39</v>
      </c>
      <c r="H125" s="5" t="s">
        <v>40</v>
      </c>
      <c r="I125" s="5" t="s">
        <v>58</v>
      </c>
      <c r="J125" s="5" t="n">
        <v>1</v>
      </c>
      <c r="K125" s="5" t="s">
        <v>121</v>
      </c>
      <c r="L125" s="6"/>
      <c r="M125" s="6"/>
      <c r="N125" s="6"/>
      <c r="O125" s="6"/>
      <c r="P125" s="5" t="str">
        <f aca="false">IF(M125="","",ROUND(M125*IFERROR(INDEX(Weights!$B$2:$B$4,MATCH(G125,Weights!$A$2:$A$4,0)),0)*IFERROR(INDEX(Weights!$B$7:$B$11,MATCH(E125,Weights!$A$7:$A$11,0)),0)*IFERROR(INDEX(Weights!$B$14:$B$17,MATCH(TEXT(J125,"0"),Weights!$A$14:$A$17,0)),0)/(1+N(N125)/50),1))</f>
        <v/>
      </c>
      <c r="Q125" s="5" t="s">
        <v>122</v>
      </c>
    </row>
    <row r="126" customFormat="false" ht="15" hidden="false" customHeight="false" outlineLevel="0" collapsed="false">
      <c r="A126" s="5" t="n">
        <v>125</v>
      </c>
      <c r="B126" s="5" t="s">
        <v>193</v>
      </c>
      <c r="C126" s="5" t="s">
        <v>57</v>
      </c>
      <c r="D126" s="5" t="s">
        <v>36</v>
      </c>
      <c r="E126" s="5" t="s">
        <v>37</v>
      </c>
      <c r="F126" s="5" t="s">
        <v>177</v>
      </c>
      <c r="G126" s="5" t="s">
        <v>39</v>
      </c>
      <c r="H126" s="5" t="s">
        <v>40</v>
      </c>
      <c r="I126" s="5" t="s">
        <v>58</v>
      </c>
      <c r="J126" s="5" t="n">
        <v>1</v>
      </c>
      <c r="K126" s="5"/>
      <c r="L126" s="6"/>
      <c r="M126" s="6"/>
      <c r="N126" s="6"/>
      <c r="O126" s="6"/>
      <c r="P126" s="5" t="str">
        <f aca="false">IF(M126="","",ROUND(M126*IFERROR(INDEX(Weights!$B$2:$B$4,MATCH(G126,Weights!$A$2:$A$4,0)),0)*IFERROR(INDEX(Weights!$B$7:$B$11,MATCH(E126,Weights!$A$7:$A$11,0)),0)*IFERROR(INDEX(Weights!$B$14:$B$17,MATCH(TEXT(J126,"0"),Weights!$A$14:$A$17,0)),0)/(1+N(N126)/50),1))</f>
        <v/>
      </c>
      <c r="Q126" s="5" t="s">
        <v>42</v>
      </c>
    </row>
    <row r="127" customFormat="false" ht="15" hidden="false" customHeight="false" outlineLevel="0" collapsed="false">
      <c r="A127" s="5" t="n">
        <v>126</v>
      </c>
      <c r="B127" s="5" t="s">
        <v>194</v>
      </c>
      <c r="C127" s="5" t="s">
        <v>57</v>
      </c>
      <c r="D127" s="5" t="s">
        <v>36</v>
      </c>
      <c r="E127" s="5" t="s">
        <v>37</v>
      </c>
      <c r="F127" s="5" t="s">
        <v>177</v>
      </c>
      <c r="G127" s="5" t="s">
        <v>39</v>
      </c>
      <c r="H127" s="5" t="s">
        <v>40</v>
      </c>
      <c r="I127" s="5" t="s">
        <v>58</v>
      </c>
      <c r="J127" s="5" t="n">
        <v>1</v>
      </c>
      <c r="K127" s="5" t="s">
        <v>121</v>
      </c>
      <c r="L127" s="6"/>
      <c r="M127" s="6"/>
      <c r="N127" s="6"/>
      <c r="O127" s="6"/>
      <c r="P127" s="5" t="str">
        <f aca="false">IF(M127="","",ROUND(M127*IFERROR(INDEX(Weights!$B$2:$B$4,MATCH(G127,Weights!$A$2:$A$4,0)),0)*IFERROR(INDEX(Weights!$B$7:$B$11,MATCH(E127,Weights!$A$7:$A$11,0)),0)*IFERROR(INDEX(Weights!$B$14:$B$17,MATCH(TEXT(J127,"0"),Weights!$A$14:$A$17,0)),0)/(1+N(N127)/50),1))</f>
        <v/>
      </c>
      <c r="Q127" s="5" t="s">
        <v>122</v>
      </c>
    </row>
    <row r="128" customFormat="false" ht="15" hidden="false" customHeight="false" outlineLevel="0" collapsed="false">
      <c r="A128" s="5" t="n">
        <v>127</v>
      </c>
      <c r="B128" s="5" t="s">
        <v>195</v>
      </c>
      <c r="C128" s="5" t="s">
        <v>61</v>
      </c>
      <c r="D128" s="5" t="s">
        <v>36</v>
      </c>
      <c r="E128" s="5" t="s">
        <v>37</v>
      </c>
      <c r="F128" s="5" t="s">
        <v>177</v>
      </c>
      <c r="G128" s="5" t="s">
        <v>39</v>
      </c>
      <c r="H128" s="5" t="s">
        <v>40</v>
      </c>
      <c r="I128" s="5" t="s">
        <v>62</v>
      </c>
      <c r="J128" s="5" t="n">
        <v>2</v>
      </c>
      <c r="K128" s="5"/>
      <c r="L128" s="6"/>
      <c r="M128" s="6"/>
      <c r="N128" s="6"/>
      <c r="O128" s="6"/>
      <c r="P128" s="5" t="str">
        <f aca="false">IF(M128="","",ROUND(M128*IFERROR(INDEX(Weights!$B$2:$B$4,MATCH(G128,Weights!$A$2:$A$4,0)),0)*IFERROR(INDEX(Weights!$B$7:$B$11,MATCH(E128,Weights!$A$7:$A$11,0)),0)*IFERROR(INDEX(Weights!$B$14:$B$17,MATCH(TEXT(J128,"0"),Weights!$A$14:$A$17,0)),0)/(1+N(N128)/50),1))</f>
        <v/>
      </c>
      <c r="Q128" s="5" t="s">
        <v>42</v>
      </c>
    </row>
    <row r="129" customFormat="false" ht="15" hidden="false" customHeight="false" outlineLevel="0" collapsed="false">
      <c r="A129" s="5" t="n">
        <v>128</v>
      </c>
      <c r="B129" s="5" t="s">
        <v>196</v>
      </c>
      <c r="C129" s="5" t="s">
        <v>61</v>
      </c>
      <c r="D129" s="5" t="s">
        <v>36</v>
      </c>
      <c r="E129" s="5" t="s">
        <v>37</v>
      </c>
      <c r="F129" s="5" t="s">
        <v>177</v>
      </c>
      <c r="G129" s="5" t="s">
        <v>39</v>
      </c>
      <c r="H129" s="5" t="s">
        <v>40</v>
      </c>
      <c r="I129" s="5" t="s">
        <v>62</v>
      </c>
      <c r="J129" s="5" t="n">
        <v>2</v>
      </c>
      <c r="K129" s="5" t="s">
        <v>121</v>
      </c>
      <c r="L129" s="6"/>
      <c r="M129" s="6"/>
      <c r="N129" s="6"/>
      <c r="O129" s="6"/>
      <c r="P129" s="5" t="str">
        <f aca="false">IF(M129="","",ROUND(M129*IFERROR(INDEX(Weights!$B$2:$B$4,MATCH(G129,Weights!$A$2:$A$4,0)),0)*IFERROR(INDEX(Weights!$B$7:$B$11,MATCH(E129,Weights!$A$7:$A$11,0)),0)*IFERROR(INDEX(Weights!$B$14:$B$17,MATCH(TEXT(J129,"0"),Weights!$A$14:$A$17,0)),0)/(1+N(N129)/50),1))</f>
        <v/>
      </c>
      <c r="Q129" s="5" t="s">
        <v>122</v>
      </c>
    </row>
    <row r="130" customFormat="false" ht="15" hidden="false" customHeight="false" outlineLevel="0" collapsed="false">
      <c r="A130" s="5" t="n">
        <v>129</v>
      </c>
      <c r="B130" s="5" t="s">
        <v>197</v>
      </c>
      <c r="C130" s="5" t="s">
        <v>64</v>
      </c>
      <c r="D130" s="5" t="s">
        <v>36</v>
      </c>
      <c r="E130" s="5" t="s">
        <v>37</v>
      </c>
      <c r="F130" s="5" t="s">
        <v>177</v>
      </c>
      <c r="G130" s="5" t="s">
        <v>39</v>
      </c>
      <c r="H130" s="5" t="s">
        <v>40</v>
      </c>
      <c r="I130" s="5" t="s">
        <v>64</v>
      </c>
      <c r="J130" s="5" t="n">
        <v>2</v>
      </c>
      <c r="K130" s="5"/>
      <c r="L130" s="6"/>
      <c r="M130" s="6"/>
      <c r="N130" s="6"/>
      <c r="O130" s="6"/>
      <c r="P130" s="5" t="str">
        <f aca="false">IF(M130="","",ROUND(M130*IFERROR(INDEX(Weights!$B$2:$B$4,MATCH(G130,Weights!$A$2:$A$4,0)),0)*IFERROR(INDEX(Weights!$B$7:$B$11,MATCH(E130,Weights!$A$7:$A$11,0)),0)*IFERROR(INDEX(Weights!$B$14:$B$17,MATCH(TEXT(J130,"0"),Weights!$A$14:$A$17,0)),0)/(1+N(N130)/50),1))</f>
        <v/>
      </c>
      <c r="Q130" s="5" t="s">
        <v>42</v>
      </c>
    </row>
    <row r="131" customFormat="false" ht="15" hidden="false" customHeight="false" outlineLevel="0" collapsed="false">
      <c r="A131" s="5" t="n">
        <v>130</v>
      </c>
      <c r="B131" s="5" t="s">
        <v>198</v>
      </c>
      <c r="C131" s="5" t="s">
        <v>64</v>
      </c>
      <c r="D131" s="5" t="s">
        <v>36</v>
      </c>
      <c r="E131" s="5" t="s">
        <v>37</v>
      </c>
      <c r="F131" s="5" t="s">
        <v>177</v>
      </c>
      <c r="G131" s="5" t="s">
        <v>39</v>
      </c>
      <c r="H131" s="5" t="s">
        <v>40</v>
      </c>
      <c r="I131" s="5" t="s">
        <v>64</v>
      </c>
      <c r="J131" s="5" t="n">
        <v>2</v>
      </c>
      <c r="K131" s="5" t="s">
        <v>121</v>
      </c>
      <c r="L131" s="6"/>
      <c r="M131" s="6"/>
      <c r="N131" s="6"/>
      <c r="O131" s="6"/>
      <c r="P131" s="5" t="str">
        <f aca="false">IF(M131="","",ROUND(M131*IFERROR(INDEX(Weights!$B$2:$B$4,MATCH(G131,Weights!$A$2:$A$4,0)),0)*IFERROR(INDEX(Weights!$B$7:$B$11,MATCH(E131,Weights!$A$7:$A$11,0)),0)*IFERROR(INDEX(Weights!$B$14:$B$17,MATCH(TEXT(J131,"0"),Weights!$A$14:$A$17,0)),0)/(1+N(N131)/50),1))</f>
        <v/>
      </c>
      <c r="Q131" s="5" t="s">
        <v>122</v>
      </c>
    </row>
    <row r="132" customFormat="false" ht="15" hidden="false" customHeight="false" outlineLevel="0" collapsed="false">
      <c r="A132" s="5" t="n">
        <v>131</v>
      </c>
      <c r="B132" s="5" t="s">
        <v>199</v>
      </c>
      <c r="C132" s="5" t="s">
        <v>66</v>
      </c>
      <c r="D132" s="5" t="s">
        <v>36</v>
      </c>
      <c r="E132" s="5" t="s">
        <v>37</v>
      </c>
      <c r="F132" s="5" t="s">
        <v>177</v>
      </c>
      <c r="G132" s="5" t="s">
        <v>39</v>
      </c>
      <c r="H132" s="5" t="s">
        <v>40</v>
      </c>
      <c r="I132" s="5" t="s">
        <v>67</v>
      </c>
      <c r="J132" s="5" t="n">
        <v>3</v>
      </c>
      <c r="K132" s="5"/>
      <c r="L132" s="6"/>
      <c r="M132" s="6"/>
      <c r="N132" s="6"/>
      <c r="O132" s="6"/>
      <c r="P132" s="5" t="str">
        <f aca="false">IF(M132="","",ROUND(M132*IFERROR(INDEX(Weights!$B$2:$B$4,MATCH(G132,Weights!$A$2:$A$4,0)),0)*IFERROR(INDEX(Weights!$B$7:$B$11,MATCH(E132,Weights!$A$7:$A$11,0)),0)*IFERROR(INDEX(Weights!$B$14:$B$17,MATCH(TEXT(J132,"0"),Weights!$A$14:$A$17,0)),0)/(1+N(N132)/50),1))</f>
        <v/>
      </c>
      <c r="Q132" s="5" t="s">
        <v>42</v>
      </c>
    </row>
    <row r="133" customFormat="false" ht="15" hidden="false" customHeight="false" outlineLevel="0" collapsed="false">
      <c r="A133" s="5" t="n">
        <v>132</v>
      </c>
      <c r="B133" s="5" t="s">
        <v>200</v>
      </c>
      <c r="C133" s="5" t="s">
        <v>66</v>
      </c>
      <c r="D133" s="5" t="s">
        <v>36</v>
      </c>
      <c r="E133" s="5" t="s">
        <v>37</v>
      </c>
      <c r="F133" s="5" t="s">
        <v>177</v>
      </c>
      <c r="G133" s="5" t="s">
        <v>39</v>
      </c>
      <c r="H133" s="5" t="s">
        <v>40</v>
      </c>
      <c r="I133" s="5" t="s">
        <v>67</v>
      </c>
      <c r="J133" s="5" t="n">
        <v>3</v>
      </c>
      <c r="K133" s="5" t="s">
        <v>121</v>
      </c>
      <c r="L133" s="6"/>
      <c r="M133" s="6"/>
      <c r="N133" s="6"/>
      <c r="O133" s="6"/>
      <c r="P133" s="5" t="str">
        <f aca="false">IF(M133="","",ROUND(M133*IFERROR(INDEX(Weights!$B$2:$B$4,MATCH(G133,Weights!$A$2:$A$4,0)),0)*IFERROR(INDEX(Weights!$B$7:$B$11,MATCH(E133,Weights!$A$7:$A$11,0)),0)*IFERROR(INDEX(Weights!$B$14:$B$17,MATCH(TEXT(J133,"0"),Weights!$A$14:$A$17,0)),0)/(1+N(N133)/50),1))</f>
        <v/>
      </c>
      <c r="Q133" s="5" t="s">
        <v>122</v>
      </c>
    </row>
    <row r="134" customFormat="false" ht="15" hidden="false" customHeight="false" outlineLevel="0" collapsed="false">
      <c r="A134" s="5" t="n">
        <v>133</v>
      </c>
      <c r="B134" s="5" t="s">
        <v>201</v>
      </c>
      <c r="C134" s="5" t="s">
        <v>69</v>
      </c>
      <c r="D134" s="5" t="s">
        <v>36</v>
      </c>
      <c r="E134" s="5" t="s">
        <v>37</v>
      </c>
      <c r="F134" s="5" t="s">
        <v>177</v>
      </c>
      <c r="G134" s="5" t="s">
        <v>39</v>
      </c>
      <c r="H134" s="5" t="s">
        <v>40</v>
      </c>
      <c r="I134" s="5" t="s">
        <v>70</v>
      </c>
      <c r="J134" s="5" t="n">
        <v>3</v>
      </c>
      <c r="K134" s="5"/>
      <c r="L134" s="6"/>
      <c r="M134" s="6"/>
      <c r="N134" s="6"/>
      <c r="O134" s="6"/>
      <c r="P134" s="5" t="str">
        <f aca="false">IF(M134="","",ROUND(M134*IFERROR(INDEX(Weights!$B$2:$B$4,MATCH(G134,Weights!$A$2:$A$4,0)),0)*IFERROR(INDEX(Weights!$B$7:$B$11,MATCH(E134,Weights!$A$7:$A$11,0)),0)*IFERROR(INDEX(Weights!$B$14:$B$17,MATCH(TEXT(J134,"0"),Weights!$A$14:$A$17,0)),0)/(1+N(N134)/50),1))</f>
        <v/>
      </c>
      <c r="Q134" s="5" t="s">
        <v>42</v>
      </c>
    </row>
    <row r="135" customFormat="false" ht="15" hidden="false" customHeight="false" outlineLevel="0" collapsed="false">
      <c r="A135" s="5" t="n">
        <v>134</v>
      </c>
      <c r="B135" s="5" t="s">
        <v>202</v>
      </c>
      <c r="C135" s="5" t="s">
        <v>69</v>
      </c>
      <c r="D135" s="5" t="s">
        <v>36</v>
      </c>
      <c r="E135" s="5" t="s">
        <v>37</v>
      </c>
      <c r="F135" s="5" t="s">
        <v>177</v>
      </c>
      <c r="G135" s="5" t="s">
        <v>39</v>
      </c>
      <c r="H135" s="5" t="s">
        <v>40</v>
      </c>
      <c r="I135" s="5" t="s">
        <v>70</v>
      </c>
      <c r="J135" s="5" t="n">
        <v>3</v>
      </c>
      <c r="K135" s="5" t="s">
        <v>121</v>
      </c>
      <c r="L135" s="6"/>
      <c r="M135" s="6"/>
      <c r="N135" s="6"/>
      <c r="O135" s="6"/>
      <c r="P135" s="5" t="str">
        <f aca="false">IF(M135="","",ROUND(M135*IFERROR(INDEX(Weights!$B$2:$B$4,MATCH(G135,Weights!$A$2:$A$4,0)),0)*IFERROR(INDEX(Weights!$B$7:$B$11,MATCH(E135,Weights!$A$7:$A$11,0)),0)*IFERROR(INDEX(Weights!$B$14:$B$17,MATCH(TEXT(J135,"0"),Weights!$A$14:$A$17,0)),0)/(1+N(N135)/50),1))</f>
        <v/>
      </c>
      <c r="Q135" s="5" t="s">
        <v>122</v>
      </c>
    </row>
    <row r="136" customFormat="false" ht="15" hidden="false" customHeight="false" outlineLevel="0" collapsed="false">
      <c r="A136" s="5" t="n">
        <v>135</v>
      </c>
      <c r="B136" s="5" t="s">
        <v>203</v>
      </c>
      <c r="C136" s="5" t="s">
        <v>69</v>
      </c>
      <c r="D136" s="5" t="s">
        <v>36</v>
      </c>
      <c r="E136" s="5" t="s">
        <v>37</v>
      </c>
      <c r="F136" s="5" t="s">
        <v>177</v>
      </c>
      <c r="G136" s="5" t="s">
        <v>39</v>
      </c>
      <c r="H136" s="5" t="s">
        <v>40</v>
      </c>
      <c r="I136" s="5" t="s">
        <v>70</v>
      </c>
      <c r="J136" s="5" t="n">
        <v>3</v>
      </c>
      <c r="K136" s="5"/>
      <c r="L136" s="6"/>
      <c r="M136" s="6"/>
      <c r="N136" s="6"/>
      <c r="O136" s="6"/>
      <c r="P136" s="5" t="str">
        <f aca="false">IF(M136="","",ROUND(M136*IFERROR(INDEX(Weights!$B$2:$B$4,MATCH(G136,Weights!$A$2:$A$4,0)),0)*IFERROR(INDEX(Weights!$B$7:$B$11,MATCH(E136,Weights!$A$7:$A$11,0)),0)*IFERROR(INDEX(Weights!$B$14:$B$17,MATCH(TEXT(J136,"0"),Weights!$A$14:$A$17,0)),0)/(1+N(N136)/50),1))</f>
        <v/>
      </c>
      <c r="Q136" s="5" t="s">
        <v>42</v>
      </c>
    </row>
    <row r="137" customFormat="false" ht="15" hidden="false" customHeight="false" outlineLevel="0" collapsed="false">
      <c r="A137" s="5" t="n">
        <v>136</v>
      </c>
      <c r="B137" s="5" t="s">
        <v>204</v>
      </c>
      <c r="C137" s="5" t="s">
        <v>69</v>
      </c>
      <c r="D137" s="5" t="s">
        <v>36</v>
      </c>
      <c r="E137" s="5" t="s">
        <v>37</v>
      </c>
      <c r="F137" s="5" t="s">
        <v>177</v>
      </c>
      <c r="G137" s="5" t="s">
        <v>39</v>
      </c>
      <c r="H137" s="5" t="s">
        <v>40</v>
      </c>
      <c r="I137" s="5" t="s">
        <v>70</v>
      </c>
      <c r="J137" s="5" t="n">
        <v>3</v>
      </c>
      <c r="K137" s="5" t="s">
        <v>121</v>
      </c>
      <c r="L137" s="6"/>
      <c r="M137" s="6"/>
      <c r="N137" s="6"/>
      <c r="O137" s="6"/>
      <c r="P137" s="5" t="str">
        <f aca="false">IF(M137="","",ROUND(M137*IFERROR(INDEX(Weights!$B$2:$B$4,MATCH(G137,Weights!$A$2:$A$4,0)),0)*IFERROR(INDEX(Weights!$B$7:$B$11,MATCH(E137,Weights!$A$7:$A$11,0)),0)*IFERROR(INDEX(Weights!$B$14:$B$17,MATCH(TEXT(J137,"0"),Weights!$A$14:$A$17,0)),0)/(1+N(N137)/50),1))</f>
        <v/>
      </c>
      <c r="Q137" s="5" t="s">
        <v>122</v>
      </c>
    </row>
    <row r="138" customFormat="false" ht="15" hidden="false" customHeight="false" outlineLevel="0" collapsed="false">
      <c r="A138" s="5" t="n">
        <v>137</v>
      </c>
      <c r="B138" s="5" t="s">
        <v>205</v>
      </c>
      <c r="C138" s="5" t="s">
        <v>64</v>
      </c>
      <c r="D138" s="5" t="s">
        <v>36</v>
      </c>
      <c r="E138" s="5" t="s">
        <v>37</v>
      </c>
      <c r="F138" s="5" t="s">
        <v>177</v>
      </c>
      <c r="G138" s="5" t="s">
        <v>39</v>
      </c>
      <c r="H138" s="5" t="s">
        <v>40</v>
      </c>
      <c r="I138" s="5" t="s">
        <v>64</v>
      </c>
      <c r="J138" s="5" t="n">
        <v>2</v>
      </c>
      <c r="K138" s="5"/>
      <c r="L138" s="6"/>
      <c r="M138" s="6"/>
      <c r="N138" s="6"/>
      <c r="O138" s="6"/>
      <c r="P138" s="5" t="str">
        <f aca="false">IF(M138="","",ROUND(M138*IFERROR(INDEX(Weights!$B$2:$B$4,MATCH(G138,Weights!$A$2:$A$4,0)),0)*IFERROR(INDEX(Weights!$B$7:$B$11,MATCH(E138,Weights!$A$7:$A$11,0)),0)*IFERROR(INDEX(Weights!$B$14:$B$17,MATCH(TEXT(J138,"0"),Weights!$A$14:$A$17,0)),0)/(1+N(N138)/50),1))</f>
        <v/>
      </c>
      <c r="Q138" s="5" t="s">
        <v>42</v>
      </c>
    </row>
    <row r="139" customFormat="false" ht="15" hidden="false" customHeight="false" outlineLevel="0" collapsed="false">
      <c r="A139" s="5" t="n">
        <v>138</v>
      </c>
      <c r="B139" s="5" t="s">
        <v>206</v>
      </c>
      <c r="C139" s="5" t="s">
        <v>64</v>
      </c>
      <c r="D139" s="5" t="s">
        <v>36</v>
      </c>
      <c r="E139" s="5" t="s">
        <v>37</v>
      </c>
      <c r="F139" s="5" t="s">
        <v>177</v>
      </c>
      <c r="G139" s="5" t="s">
        <v>39</v>
      </c>
      <c r="H139" s="5" t="s">
        <v>40</v>
      </c>
      <c r="I139" s="5" t="s">
        <v>64</v>
      </c>
      <c r="J139" s="5" t="n">
        <v>2</v>
      </c>
      <c r="K139" s="5" t="s">
        <v>121</v>
      </c>
      <c r="L139" s="6"/>
      <c r="M139" s="6"/>
      <c r="N139" s="6"/>
      <c r="O139" s="6"/>
      <c r="P139" s="5" t="str">
        <f aca="false">IF(M139="","",ROUND(M139*IFERROR(INDEX(Weights!$B$2:$B$4,MATCH(G139,Weights!$A$2:$A$4,0)),0)*IFERROR(INDEX(Weights!$B$7:$B$11,MATCH(E139,Weights!$A$7:$A$11,0)),0)*IFERROR(INDEX(Weights!$B$14:$B$17,MATCH(TEXT(J139,"0"),Weights!$A$14:$A$17,0)),0)/(1+N(N139)/50),1))</f>
        <v/>
      </c>
      <c r="Q139" s="5" t="s">
        <v>122</v>
      </c>
    </row>
    <row r="140" customFormat="false" ht="15" hidden="false" customHeight="false" outlineLevel="0" collapsed="false">
      <c r="A140" s="5" t="n">
        <v>139</v>
      </c>
      <c r="B140" s="5" t="s">
        <v>207</v>
      </c>
      <c r="C140" s="5" t="s">
        <v>74</v>
      </c>
      <c r="D140" s="5" t="s">
        <v>36</v>
      </c>
      <c r="E140" s="5" t="s">
        <v>37</v>
      </c>
      <c r="F140" s="5" t="s">
        <v>177</v>
      </c>
      <c r="G140" s="5" t="s">
        <v>39</v>
      </c>
      <c r="H140" s="5" t="s">
        <v>40</v>
      </c>
      <c r="I140" s="5" t="s">
        <v>75</v>
      </c>
      <c r="J140" s="5" t="n">
        <v>2</v>
      </c>
      <c r="K140" s="5"/>
      <c r="L140" s="6"/>
      <c r="M140" s="6"/>
      <c r="N140" s="6"/>
      <c r="O140" s="6"/>
      <c r="P140" s="5" t="str">
        <f aca="false">IF(M140="","",ROUND(M140*IFERROR(INDEX(Weights!$B$2:$B$4,MATCH(G140,Weights!$A$2:$A$4,0)),0)*IFERROR(INDEX(Weights!$B$7:$B$11,MATCH(E140,Weights!$A$7:$A$11,0)),0)*IFERROR(INDEX(Weights!$B$14:$B$17,MATCH(TEXT(J140,"0"),Weights!$A$14:$A$17,0)),0)/(1+N(N140)/50),1))</f>
        <v/>
      </c>
      <c r="Q140" s="5" t="s">
        <v>42</v>
      </c>
    </row>
    <row r="141" customFormat="false" ht="15" hidden="false" customHeight="false" outlineLevel="0" collapsed="false">
      <c r="A141" s="5" t="n">
        <v>140</v>
      </c>
      <c r="B141" s="5" t="s">
        <v>208</v>
      </c>
      <c r="C141" s="5" t="s">
        <v>74</v>
      </c>
      <c r="D141" s="5" t="s">
        <v>36</v>
      </c>
      <c r="E141" s="5" t="s">
        <v>37</v>
      </c>
      <c r="F141" s="5" t="s">
        <v>177</v>
      </c>
      <c r="G141" s="5" t="s">
        <v>39</v>
      </c>
      <c r="H141" s="5" t="s">
        <v>40</v>
      </c>
      <c r="I141" s="5" t="s">
        <v>75</v>
      </c>
      <c r="J141" s="5" t="n">
        <v>2</v>
      </c>
      <c r="K141" s="5" t="s">
        <v>121</v>
      </c>
      <c r="L141" s="6"/>
      <c r="M141" s="6"/>
      <c r="N141" s="6"/>
      <c r="O141" s="6"/>
      <c r="P141" s="5" t="str">
        <f aca="false">IF(M141="","",ROUND(M141*IFERROR(INDEX(Weights!$B$2:$B$4,MATCH(G141,Weights!$A$2:$A$4,0)),0)*IFERROR(INDEX(Weights!$B$7:$B$11,MATCH(E141,Weights!$A$7:$A$11,0)),0)*IFERROR(INDEX(Weights!$B$14:$B$17,MATCH(TEXT(J141,"0"),Weights!$A$14:$A$17,0)),0)/(1+N(N141)/50),1))</f>
        <v/>
      </c>
      <c r="Q141" s="5" t="s">
        <v>122</v>
      </c>
    </row>
    <row r="142" customFormat="false" ht="15" hidden="false" customHeight="false" outlineLevel="0" collapsed="false">
      <c r="A142" s="5" t="n">
        <v>141</v>
      </c>
      <c r="B142" s="5" t="s">
        <v>209</v>
      </c>
      <c r="C142" s="5" t="s">
        <v>74</v>
      </c>
      <c r="D142" s="5" t="s">
        <v>36</v>
      </c>
      <c r="E142" s="5" t="s">
        <v>37</v>
      </c>
      <c r="F142" s="5" t="s">
        <v>177</v>
      </c>
      <c r="G142" s="5" t="s">
        <v>39</v>
      </c>
      <c r="H142" s="5" t="s">
        <v>40</v>
      </c>
      <c r="I142" s="5" t="s">
        <v>75</v>
      </c>
      <c r="J142" s="5" t="n">
        <v>2</v>
      </c>
      <c r="K142" s="5"/>
      <c r="L142" s="6"/>
      <c r="M142" s="6"/>
      <c r="N142" s="6"/>
      <c r="O142" s="6"/>
      <c r="P142" s="5" t="str">
        <f aca="false">IF(M142="","",ROUND(M142*IFERROR(INDEX(Weights!$B$2:$B$4,MATCH(G142,Weights!$A$2:$A$4,0)),0)*IFERROR(INDEX(Weights!$B$7:$B$11,MATCH(E142,Weights!$A$7:$A$11,0)),0)*IFERROR(INDEX(Weights!$B$14:$B$17,MATCH(TEXT(J142,"0"),Weights!$A$14:$A$17,0)),0)/(1+N(N142)/50),1))</f>
        <v/>
      </c>
      <c r="Q142" s="5" t="s">
        <v>42</v>
      </c>
    </row>
    <row r="143" customFormat="false" ht="15" hidden="false" customHeight="false" outlineLevel="0" collapsed="false">
      <c r="A143" s="5" t="n">
        <v>142</v>
      </c>
      <c r="B143" s="5" t="s">
        <v>210</v>
      </c>
      <c r="C143" s="5" t="s">
        <v>74</v>
      </c>
      <c r="D143" s="5" t="s">
        <v>36</v>
      </c>
      <c r="E143" s="5" t="s">
        <v>37</v>
      </c>
      <c r="F143" s="5" t="s">
        <v>177</v>
      </c>
      <c r="G143" s="5" t="s">
        <v>39</v>
      </c>
      <c r="H143" s="5" t="s">
        <v>40</v>
      </c>
      <c r="I143" s="5" t="s">
        <v>75</v>
      </c>
      <c r="J143" s="5" t="n">
        <v>2</v>
      </c>
      <c r="K143" s="5" t="s">
        <v>121</v>
      </c>
      <c r="L143" s="6"/>
      <c r="M143" s="6"/>
      <c r="N143" s="6"/>
      <c r="O143" s="6"/>
      <c r="P143" s="5" t="str">
        <f aca="false">IF(M143="","",ROUND(M143*IFERROR(INDEX(Weights!$B$2:$B$4,MATCH(G143,Weights!$A$2:$A$4,0)),0)*IFERROR(INDEX(Weights!$B$7:$B$11,MATCH(E143,Weights!$A$7:$A$11,0)),0)*IFERROR(INDEX(Weights!$B$14:$B$17,MATCH(TEXT(J143,"0"),Weights!$A$14:$A$17,0)),0)/(1+N(N143)/50),1))</f>
        <v/>
      </c>
      <c r="Q143" s="5" t="s">
        <v>122</v>
      </c>
    </row>
    <row r="144" customFormat="false" ht="15" hidden="false" customHeight="false" outlineLevel="0" collapsed="false">
      <c r="A144" s="5" t="n">
        <v>143</v>
      </c>
      <c r="B144" s="5" t="s">
        <v>211</v>
      </c>
      <c r="C144" s="5" t="s">
        <v>78</v>
      </c>
      <c r="D144" s="5" t="s">
        <v>36</v>
      </c>
      <c r="E144" s="5" t="s">
        <v>37</v>
      </c>
      <c r="F144" s="5" t="s">
        <v>177</v>
      </c>
      <c r="G144" s="5" t="s">
        <v>39</v>
      </c>
      <c r="H144" s="5" t="s">
        <v>40</v>
      </c>
      <c r="I144" s="5" t="s">
        <v>79</v>
      </c>
      <c r="J144" s="5" t="n">
        <v>2</v>
      </c>
      <c r="K144" s="5"/>
      <c r="L144" s="6"/>
      <c r="M144" s="6"/>
      <c r="N144" s="6"/>
      <c r="O144" s="6"/>
      <c r="P144" s="5" t="str">
        <f aca="false">IF(M144="","",ROUND(M144*IFERROR(INDEX(Weights!$B$2:$B$4,MATCH(G144,Weights!$A$2:$A$4,0)),0)*IFERROR(INDEX(Weights!$B$7:$B$11,MATCH(E144,Weights!$A$7:$A$11,0)),0)*IFERROR(INDEX(Weights!$B$14:$B$17,MATCH(TEXT(J144,"0"),Weights!$A$14:$A$17,0)),0)/(1+N(N144)/50),1))</f>
        <v/>
      </c>
      <c r="Q144" s="5" t="s">
        <v>42</v>
      </c>
    </row>
    <row r="145" customFormat="false" ht="15" hidden="false" customHeight="false" outlineLevel="0" collapsed="false">
      <c r="A145" s="5" t="n">
        <v>144</v>
      </c>
      <c r="B145" s="5" t="s">
        <v>212</v>
      </c>
      <c r="C145" s="5" t="s">
        <v>78</v>
      </c>
      <c r="D145" s="5" t="s">
        <v>36</v>
      </c>
      <c r="E145" s="5" t="s">
        <v>37</v>
      </c>
      <c r="F145" s="5" t="s">
        <v>177</v>
      </c>
      <c r="G145" s="5" t="s">
        <v>39</v>
      </c>
      <c r="H145" s="5" t="s">
        <v>40</v>
      </c>
      <c r="I145" s="5" t="s">
        <v>79</v>
      </c>
      <c r="J145" s="5" t="n">
        <v>2</v>
      </c>
      <c r="K145" s="5" t="s">
        <v>121</v>
      </c>
      <c r="L145" s="6"/>
      <c r="M145" s="6"/>
      <c r="N145" s="6"/>
      <c r="O145" s="6"/>
      <c r="P145" s="5" t="str">
        <f aca="false">IF(M145="","",ROUND(M145*IFERROR(INDEX(Weights!$B$2:$B$4,MATCH(G145,Weights!$A$2:$A$4,0)),0)*IFERROR(INDEX(Weights!$B$7:$B$11,MATCH(E145,Weights!$A$7:$A$11,0)),0)*IFERROR(INDEX(Weights!$B$14:$B$17,MATCH(TEXT(J145,"0"),Weights!$A$14:$A$17,0)),0)/(1+N(N145)/50),1))</f>
        <v/>
      </c>
      <c r="Q145" s="5" t="s">
        <v>122</v>
      </c>
    </row>
    <row r="146" customFormat="false" ht="15" hidden="false" customHeight="false" outlineLevel="0" collapsed="false">
      <c r="A146" s="5" t="n">
        <v>145</v>
      </c>
      <c r="B146" s="5" t="s">
        <v>213</v>
      </c>
      <c r="C146" s="5" t="s">
        <v>35</v>
      </c>
      <c r="D146" s="5" t="s">
        <v>36</v>
      </c>
      <c r="E146" s="5" t="s">
        <v>37</v>
      </c>
      <c r="F146" s="5" t="s">
        <v>214</v>
      </c>
      <c r="G146" s="5" t="s">
        <v>39</v>
      </c>
      <c r="H146" s="5" t="s">
        <v>40</v>
      </c>
      <c r="I146" s="5" t="s">
        <v>41</v>
      </c>
      <c r="J146" s="5" t="n">
        <v>1</v>
      </c>
      <c r="K146" s="5"/>
      <c r="L146" s="6"/>
      <c r="M146" s="6"/>
      <c r="N146" s="6"/>
      <c r="O146" s="6"/>
      <c r="P146" s="5" t="str">
        <f aca="false">IF(M146="","",ROUND(M146*IFERROR(INDEX(Weights!$B$2:$B$4,MATCH(G146,Weights!$A$2:$A$4,0)),0)*IFERROR(INDEX(Weights!$B$7:$B$11,MATCH(E146,Weights!$A$7:$A$11,0)),0)*IFERROR(INDEX(Weights!$B$14:$B$17,MATCH(TEXT(J146,"0"),Weights!$A$14:$A$17,0)),0)/(1+N(N146)/50),1))</f>
        <v/>
      </c>
      <c r="Q146" s="5" t="s">
        <v>42</v>
      </c>
    </row>
    <row r="147" customFormat="false" ht="15" hidden="false" customHeight="false" outlineLevel="0" collapsed="false">
      <c r="A147" s="5" t="n">
        <v>146</v>
      </c>
      <c r="B147" s="5" t="s">
        <v>215</v>
      </c>
      <c r="C147" s="5" t="s">
        <v>35</v>
      </c>
      <c r="D147" s="5" t="s">
        <v>36</v>
      </c>
      <c r="E147" s="5" t="s">
        <v>37</v>
      </c>
      <c r="F147" s="5" t="s">
        <v>214</v>
      </c>
      <c r="G147" s="5" t="s">
        <v>39</v>
      </c>
      <c r="H147" s="5" t="s">
        <v>40</v>
      </c>
      <c r="I147" s="5" t="s">
        <v>44</v>
      </c>
      <c r="J147" s="5" t="n">
        <v>1</v>
      </c>
      <c r="K147" s="5"/>
      <c r="L147" s="6"/>
      <c r="M147" s="6"/>
      <c r="N147" s="6"/>
      <c r="O147" s="6"/>
      <c r="P147" s="5" t="str">
        <f aca="false">IF(M147="","",ROUND(M147*IFERROR(INDEX(Weights!$B$2:$B$4,MATCH(G147,Weights!$A$2:$A$4,0)),0)*IFERROR(INDEX(Weights!$B$7:$B$11,MATCH(E147,Weights!$A$7:$A$11,0)),0)*IFERROR(INDEX(Weights!$B$14:$B$17,MATCH(TEXT(J147,"0"),Weights!$A$14:$A$17,0)),0)/(1+N(N147)/50),1))</f>
        <v/>
      </c>
      <c r="Q147" s="5" t="s">
        <v>42</v>
      </c>
    </row>
    <row r="148" customFormat="false" ht="15" hidden="false" customHeight="false" outlineLevel="0" collapsed="false">
      <c r="A148" s="5" t="n">
        <v>147</v>
      </c>
      <c r="B148" s="5" t="s">
        <v>216</v>
      </c>
      <c r="C148" s="5" t="s">
        <v>35</v>
      </c>
      <c r="D148" s="5" t="s">
        <v>36</v>
      </c>
      <c r="E148" s="5" t="s">
        <v>37</v>
      </c>
      <c r="F148" s="5" t="s">
        <v>214</v>
      </c>
      <c r="G148" s="5" t="s">
        <v>39</v>
      </c>
      <c r="H148" s="5" t="s">
        <v>40</v>
      </c>
      <c r="I148" s="5" t="s">
        <v>44</v>
      </c>
      <c r="J148" s="5" t="n">
        <v>1</v>
      </c>
      <c r="K148" s="5"/>
      <c r="L148" s="6"/>
      <c r="M148" s="6"/>
      <c r="N148" s="6"/>
      <c r="O148" s="6"/>
      <c r="P148" s="5" t="str">
        <f aca="false">IF(M148="","",ROUND(M148*IFERROR(INDEX(Weights!$B$2:$B$4,MATCH(G148,Weights!$A$2:$A$4,0)),0)*IFERROR(INDEX(Weights!$B$7:$B$11,MATCH(E148,Weights!$A$7:$A$11,0)),0)*IFERROR(INDEX(Weights!$B$14:$B$17,MATCH(TEXT(J148,"0"),Weights!$A$14:$A$17,0)),0)/(1+N(N148)/50),1))</f>
        <v/>
      </c>
      <c r="Q148" s="5" t="s">
        <v>42</v>
      </c>
    </row>
    <row r="149" customFormat="false" ht="15" hidden="false" customHeight="false" outlineLevel="0" collapsed="false">
      <c r="A149" s="5" t="n">
        <v>148</v>
      </c>
      <c r="B149" s="5" t="s">
        <v>217</v>
      </c>
      <c r="C149" s="5" t="s">
        <v>47</v>
      </c>
      <c r="D149" s="5" t="s">
        <v>36</v>
      </c>
      <c r="E149" s="5" t="s">
        <v>37</v>
      </c>
      <c r="F149" s="5" t="s">
        <v>214</v>
      </c>
      <c r="G149" s="5" t="s">
        <v>39</v>
      </c>
      <c r="H149" s="5" t="s">
        <v>40</v>
      </c>
      <c r="I149" s="5" t="s">
        <v>48</v>
      </c>
      <c r="J149" s="5" t="n">
        <v>1</v>
      </c>
      <c r="K149" s="5"/>
      <c r="L149" s="6"/>
      <c r="M149" s="6"/>
      <c r="N149" s="6"/>
      <c r="O149" s="6"/>
      <c r="P149" s="5" t="str">
        <f aca="false">IF(M149="","",ROUND(M149*IFERROR(INDEX(Weights!$B$2:$B$4,MATCH(G149,Weights!$A$2:$A$4,0)),0)*IFERROR(INDEX(Weights!$B$7:$B$11,MATCH(E149,Weights!$A$7:$A$11,0)),0)*IFERROR(INDEX(Weights!$B$14:$B$17,MATCH(TEXT(J149,"0"),Weights!$A$14:$A$17,0)),0)/(1+N(N149)/50),1))</f>
        <v/>
      </c>
      <c r="Q149" s="5" t="s">
        <v>42</v>
      </c>
    </row>
    <row r="150" customFormat="false" ht="15" hidden="false" customHeight="false" outlineLevel="0" collapsed="false">
      <c r="A150" s="5" t="n">
        <v>149</v>
      </c>
      <c r="B150" s="5" t="s">
        <v>218</v>
      </c>
      <c r="C150" s="5" t="s">
        <v>47</v>
      </c>
      <c r="D150" s="5" t="s">
        <v>36</v>
      </c>
      <c r="E150" s="5" t="s">
        <v>37</v>
      </c>
      <c r="F150" s="5" t="s">
        <v>214</v>
      </c>
      <c r="G150" s="5" t="s">
        <v>39</v>
      </c>
      <c r="H150" s="5" t="s">
        <v>40</v>
      </c>
      <c r="I150" s="5" t="s">
        <v>48</v>
      </c>
      <c r="J150" s="5" t="n">
        <v>1</v>
      </c>
      <c r="K150" s="5"/>
      <c r="L150" s="6"/>
      <c r="M150" s="6"/>
      <c r="N150" s="6"/>
      <c r="O150" s="6"/>
      <c r="P150" s="5" t="str">
        <f aca="false">IF(M150="","",ROUND(M150*IFERROR(INDEX(Weights!$B$2:$B$4,MATCH(G150,Weights!$A$2:$A$4,0)),0)*IFERROR(INDEX(Weights!$B$7:$B$11,MATCH(E150,Weights!$A$7:$A$11,0)),0)*IFERROR(INDEX(Weights!$B$14:$B$17,MATCH(TEXT(J150,"0"),Weights!$A$14:$A$17,0)),0)/(1+N(N150)/50),1))</f>
        <v/>
      </c>
      <c r="Q150" s="5" t="s">
        <v>42</v>
      </c>
    </row>
    <row r="151" customFormat="false" ht="15" hidden="false" customHeight="false" outlineLevel="0" collapsed="false">
      <c r="A151" s="5" t="n">
        <v>150</v>
      </c>
      <c r="B151" s="5" t="s">
        <v>219</v>
      </c>
      <c r="C151" s="5" t="s">
        <v>51</v>
      </c>
      <c r="D151" s="5" t="s">
        <v>36</v>
      </c>
      <c r="E151" s="5" t="s">
        <v>37</v>
      </c>
      <c r="F151" s="5" t="s">
        <v>214</v>
      </c>
      <c r="G151" s="5" t="s">
        <v>39</v>
      </c>
      <c r="H151" s="5" t="s">
        <v>40</v>
      </c>
      <c r="I151" s="5" t="s">
        <v>52</v>
      </c>
      <c r="J151" s="5" t="n">
        <v>1</v>
      </c>
      <c r="K151" s="5"/>
      <c r="L151" s="6"/>
      <c r="M151" s="6"/>
      <c r="N151" s="6"/>
      <c r="O151" s="6"/>
      <c r="P151" s="5" t="str">
        <f aca="false">IF(M151="","",ROUND(M151*IFERROR(INDEX(Weights!$B$2:$B$4,MATCH(G151,Weights!$A$2:$A$4,0)),0)*IFERROR(INDEX(Weights!$B$7:$B$11,MATCH(E151,Weights!$A$7:$A$11,0)),0)*IFERROR(INDEX(Weights!$B$14:$B$17,MATCH(TEXT(J151,"0"),Weights!$A$14:$A$17,0)),0)/(1+N(N151)/50),1))</f>
        <v/>
      </c>
      <c r="Q151" s="5" t="s">
        <v>42</v>
      </c>
    </row>
    <row r="152" customFormat="false" ht="15" hidden="false" customHeight="false" outlineLevel="0" collapsed="false">
      <c r="A152" s="5" t="n">
        <v>151</v>
      </c>
      <c r="B152" s="5" t="s">
        <v>220</v>
      </c>
      <c r="C152" s="5" t="s">
        <v>54</v>
      </c>
      <c r="D152" s="5" t="s">
        <v>36</v>
      </c>
      <c r="E152" s="5" t="s">
        <v>37</v>
      </c>
      <c r="F152" s="5" t="s">
        <v>214</v>
      </c>
      <c r="G152" s="5" t="s">
        <v>39</v>
      </c>
      <c r="H152" s="5" t="s">
        <v>40</v>
      </c>
      <c r="I152" s="5" t="s">
        <v>55</v>
      </c>
      <c r="J152" s="5" t="n">
        <v>1</v>
      </c>
      <c r="K152" s="5"/>
      <c r="L152" s="6"/>
      <c r="M152" s="6"/>
      <c r="N152" s="6"/>
      <c r="O152" s="6"/>
      <c r="P152" s="5" t="str">
        <f aca="false">IF(M152="","",ROUND(M152*IFERROR(INDEX(Weights!$B$2:$B$4,MATCH(G152,Weights!$A$2:$A$4,0)),0)*IFERROR(INDEX(Weights!$B$7:$B$11,MATCH(E152,Weights!$A$7:$A$11,0)),0)*IFERROR(INDEX(Weights!$B$14:$B$17,MATCH(TEXT(J152,"0"),Weights!$A$14:$A$17,0)),0)/(1+N(N152)/50),1))</f>
        <v/>
      </c>
      <c r="Q152" s="5" t="s">
        <v>42</v>
      </c>
    </row>
    <row r="153" customFormat="false" ht="15" hidden="false" customHeight="false" outlineLevel="0" collapsed="false">
      <c r="A153" s="5" t="n">
        <v>152</v>
      </c>
      <c r="B153" s="5" t="s">
        <v>221</v>
      </c>
      <c r="C153" s="5" t="s">
        <v>57</v>
      </c>
      <c r="D153" s="5" t="s">
        <v>36</v>
      </c>
      <c r="E153" s="5" t="s">
        <v>37</v>
      </c>
      <c r="F153" s="5" t="s">
        <v>214</v>
      </c>
      <c r="G153" s="5" t="s">
        <v>39</v>
      </c>
      <c r="H153" s="5" t="s">
        <v>40</v>
      </c>
      <c r="I153" s="5" t="s">
        <v>58</v>
      </c>
      <c r="J153" s="5" t="n">
        <v>1</v>
      </c>
      <c r="K153" s="5"/>
      <c r="L153" s="6"/>
      <c r="M153" s="6"/>
      <c r="N153" s="6"/>
      <c r="O153" s="6"/>
      <c r="P153" s="5" t="str">
        <f aca="false">IF(M153="","",ROUND(M153*IFERROR(INDEX(Weights!$B$2:$B$4,MATCH(G153,Weights!$A$2:$A$4,0)),0)*IFERROR(INDEX(Weights!$B$7:$B$11,MATCH(E153,Weights!$A$7:$A$11,0)),0)*IFERROR(INDEX(Weights!$B$14:$B$17,MATCH(TEXT(J153,"0"),Weights!$A$14:$A$17,0)),0)/(1+N(N153)/50),1))</f>
        <v/>
      </c>
      <c r="Q153" s="5" t="s">
        <v>42</v>
      </c>
    </row>
    <row r="154" customFormat="false" ht="15" hidden="false" customHeight="false" outlineLevel="0" collapsed="false">
      <c r="A154" s="5" t="n">
        <v>153</v>
      </c>
      <c r="B154" s="5" t="s">
        <v>222</v>
      </c>
      <c r="C154" s="5" t="s">
        <v>57</v>
      </c>
      <c r="D154" s="5" t="s">
        <v>36</v>
      </c>
      <c r="E154" s="5" t="s">
        <v>37</v>
      </c>
      <c r="F154" s="5" t="s">
        <v>214</v>
      </c>
      <c r="G154" s="5" t="s">
        <v>39</v>
      </c>
      <c r="H154" s="5" t="s">
        <v>40</v>
      </c>
      <c r="I154" s="5" t="s">
        <v>58</v>
      </c>
      <c r="J154" s="5" t="n">
        <v>1</v>
      </c>
      <c r="K154" s="5"/>
      <c r="L154" s="6"/>
      <c r="M154" s="6"/>
      <c r="N154" s="6"/>
      <c r="O154" s="6"/>
      <c r="P154" s="5" t="str">
        <f aca="false">IF(M154="","",ROUND(M154*IFERROR(INDEX(Weights!$B$2:$B$4,MATCH(G154,Weights!$A$2:$A$4,0)),0)*IFERROR(INDEX(Weights!$B$7:$B$11,MATCH(E154,Weights!$A$7:$A$11,0)),0)*IFERROR(INDEX(Weights!$B$14:$B$17,MATCH(TEXT(J154,"0"),Weights!$A$14:$A$17,0)),0)/(1+N(N154)/50),1))</f>
        <v/>
      </c>
      <c r="Q154" s="5" t="s">
        <v>42</v>
      </c>
    </row>
    <row r="155" customFormat="false" ht="15" hidden="false" customHeight="false" outlineLevel="0" collapsed="false">
      <c r="A155" s="5" t="n">
        <v>154</v>
      </c>
      <c r="B155" s="5" t="s">
        <v>223</v>
      </c>
      <c r="C155" s="5" t="s">
        <v>61</v>
      </c>
      <c r="D155" s="5" t="s">
        <v>36</v>
      </c>
      <c r="E155" s="5" t="s">
        <v>37</v>
      </c>
      <c r="F155" s="5" t="s">
        <v>214</v>
      </c>
      <c r="G155" s="5" t="s">
        <v>39</v>
      </c>
      <c r="H155" s="5" t="s">
        <v>40</v>
      </c>
      <c r="I155" s="5" t="s">
        <v>62</v>
      </c>
      <c r="J155" s="5" t="n">
        <v>2</v>
      </c>
      <c r="K155" s="5"/>
      <c r="L155" s="6"/>
      <c r="M155" s="6"/>
      <c r="N155" s="6"/>
      <c r="O155" s="6"/>
      <c r="P155" s="5" t="str">
        <f aca="false">IF(M155="","",ROUND(M155*IFERROR(INDEX(Weights!$B$2:$B$4,MATCH(G155,Weights!$A$2:$A$4,0)),0)*IFERROR(INDEX(Weights!$B$7:$B$11,MATCH(E155,Weights!$A$7:$A$11,0)),0)*IFERROR(INDEX(Weights!$B$14:$B$17,MATCH(TEXT(J155,"0"),Weights!$A$14:$A$17,0)),0)/(1+N(N155)/50),1))</f>
        <v/>
      </c>
      <c r="Q155" s="5" t="s">
        <v>42</v>
      </c>
    </row>
    <row r="156" customFormat="false" ht="15" hidden="false" customHeight="false" outlineLevel="0" collapsed="false">
      <c r="A156" s="5" t="n">
        <v>155</v>
      </c>
      <c r="B156" s="5" t="s">
        <v>224</v>
      </c>
      <c r="C156" s="5" t="s">
        <v>64</v>
      </c>
      <c r="D156" s="5" t="s">
        <v>36</v>
      </c>
      <c r="E156" s="5" t="s">
        <v>37</v>
      </c>
      <c r="F156" s="5" t="s">
        <v>214</v>
      </c>
      <c r="G156" s="5" t="s">
        <v>39</v>
      </c>
      <c r="H156" s="5" t="s">
        <v>40</v>
      </c>
      <c r="I156" s="5" t="s">
        <v>64</v>
      </c>
      <c r="J156" s="5" t="n">
        <v>2</v>
      </c>
      <c r="K156" s="5"/>
      <c r="L156" s="6"/>
      <c r="M156" s="6"/>
      <c r="N156" s="6"/>
      <c r="O156" s="6"/>
      <c r="P156" s="5" t="str">
        <f aca="false">IF(M156="","",ROUND(M156*IFERROR(INDEX(Weights!$B$2:$B$4,MATCH(G156,Weights!$A$2:$A$4,0)),0)*IFERROR(INDEX(Weights!$B$7:$B$11,MATCH(E156,Weights!$A$7:$A$11,0)),0)*IFERROR(INDEX(Weights!$B$14:$B$17,MATCH(TEXT(J156,"0"),Weights!$A$14:$A$17,0)),0)/(1+N(N156)/50),1))</f>
        <v/>
      </c>
      <c r="Q156" s="5" t="s">
        <v>42</v>
      </c>
    </row>
    <row r="157" customFormat="false" ht="15" hidden="false" customHeight="false" outlineLevel="0" collapsed="false">
      <c r="A157" s="5" t="n">
        <v>156</v>
      </c>
      <c r="B157" s="5" t="s">
        <v>225</v>
      </c>
      <c r="C157" s="5" t="s">
        <v>66</v>
      </c>
      <c r="D157" s="5" t="s">
        <v>36</v>
      </c>
      <c r="E157" s="5" t="s">
        <v>37</v>
      </c>
      <c r="F157" s="5" t="s">
        <v>214</v>
      </c>
      <c r="G157" s="5" t="s">
        <v>39</v>
      </c>
      <c r="H157" s="5" t="s">
        <v>40</v>
      </c>
      <c r="I157" s="5" t="s">
        <v>67</v>
      </c>
      <c r="J157" s="5" t="n">
        <v>3</v>
      </c>
      <c r="K157" s="5"/>
      <c r="L157" s="6"/>
      <c r="M157" s="6"/>
      <c r="N157" s="6"/>
      <c r="O157" s="6"/>
      <c r="P157" s="5" t="str">
        <f aca="false">IF(M157="","",ROUND(M157*IFERROR(INDEX(Weights!$B$2:$B$4,MATCH(G157,Weights!$A$2:$A$4,0)),0)*IFERROR(INDEX(Weights!$B$7:$B$11,MATCH(E157,Weights!$A$7:$A$11,0)),0)*IFERROR(INDEX(Weights!$B$14:$B$17,MATCH(TEXT(J157,"0"),Weights!$A$14:$A$17,0)),0)/(1+N(N157)/50),1))</f>
        <v/>
      </c>
      <c r="Q157" s="5" t="s">
        <v>42</v>
      </c>
    </row>
    <row r="158" customFormat="false" ht="15" hidden="false" customHeight="false" outlineLevel="0" collapsed="false">
      <c r="A158" s="5" t="n">
        <v>157</v>
      </c>
      <c r="B158" s="5" t="s">
        <v>226</v>
      </c>
      <c r="C158" s="5" t="s">
        <v>69</v>
      </c>
      <c r="D158" s="5" t="s">
        <v>36</v>
      </c>
      <c r="E158" s="5" t="s">
        <v>37</v>
      </c>
      <c r="F158" s="5" t="s">
        <v>214</v>
      </c>
      <c r="G158" s="5" t="s">
        <v>39</v>
      </c>
      <c r="H158" s="5" t="s">
        <v>40</v>
      </c>
      <c r="I158" s="5" t="s">
        <v>70</v>
      </c>
      <c r="J158" s="5" t="n">
        <v>3</v>
      </c>
      <c r="K158" s="5"/>
      <c r="L158" s="6"/>
      <c r="M158" s="6"/>
      <c r="N158" s="6"/>
      <c r="O158" s="6"/>
      <c r="P158" s="5" t="str">
        <f aca="false">IF(M158="","",ROUND(M158*IFERROR(INDEX(Weights!$B$2:$B$4,MATCH(G158,Weights!$A$2:$A$4,0)),0)*IFERROR(INDEX(Weights!$B$7:$B$11,MATCH(E158,Weights!$A$7:$A$11,0)),0)*IFERROR(INDEX(Weights!$B$14:$B$17,MATCH(TEXT(J158,"0"),Weights!$A$14:$A$17,0)),0)/(1+N(N158)/50),1))</f>
        <v/>
      </c>
      <c r="Q158" s="5" t="s">
        <v>42</v>
      </c>
    </row>
    <row r="159" customFormat="false" ht="15" hidden="false" customHeight="false" outlineLevel="0" collapsed="false">
      <c r="A159" s="5" t="n">
        <v>158</v>
      </c>
      <c r="B159" s="5" t="s">
        <v>227</v>
      </c>
      <c r="C159" s="5" t="s">
        <v>69</v>
      </c>
      <c r="D159" s="5" t="s">
        <v>36</v>
      </c>
      <c r="E159" s="5" t="s">
        <v>37</v>
      </c>
      <c r="F159" s="5" t="s">
        <v>214</v>
      </c>
      <c r="G159" s="5" t="s">
        <v>39</v>
      </c>
      <c r="H159" s="5" t="s">
        <v>40</v>
      </c>
      <c r="I159" s="5" t="s">
        <v>70</v>
      </c>
      <c r="J159" s="5" t="n">
        <v>3</v>
      </c>
      <c r="K159" s="5"/>
      <c r="L159" s="6"/>
      <c r="M159" s="6"/>
      <c r="N159" s="6"/>
      <c r="O159" s="6"/>
      <c r="P159" s="5" t="str">
        <f aca="false">IF(M159="","",ROUND(M159*IFERROR(INDEX(Weights!$B$2:$B$4,MATCH(G159,Weights!$A$2:$A$4,0)),0)*IFERROR(INDEX(Weights!$B$7:$B$11,MATCH(E159,Weights!$A$7:$A$11,0)),0)*IFERROR(INDEX(Weights!$B$14:$B$17,MATCH(TEXT(J159,"0"),Weights!$A$14:$A$17,0)),0)/(1+N(N159)/50),1))</f>
        <v/>
      </c>
      <c r="Q159" s="5" t="s">
        <v>42</v>
      </c>
    </row>
    <row r="160" customFormat="false" ht="15" hidden="false" customHeight="false" outlineLevel="0" collapsed="false">
      <c r="A160" s="5" t="n">
        <v>159</v>
      </c>
      <c r="B160" s="5" t="s">
        <v>228</v>
      </c>
      <c r="C160" s="5" t="s">
        <v>64</v>
      </c>
      <c r="D160" s="5" t="s">
        <v>36</v>
      </c>
      <c r="E160" s="5" t="s">
        <v>37</v>
      </c>
      <c r="F160" s="5" t="s">
        <v>214</v>
      </c>
      <c r="G160" s="5" t="s">
        <v>39</v>
      </c>
      <c r="H160" s="5" t="s">
        <v>40</v>
      </c>
      <c r="I160" s="5" t="s">
        <v>64</v>
      </c>
      <c r="J160" s="5" t="n">
        <v>2</v>
      </c>
      <c r="K160" s="5"/>
      <c r="L160" s="6"/>
      <c r="M160" s="6"/>
      <c r="N160" s="6"/>
      <c r="O160" s="6"/>
      <c r="P160" s="5" t="str">
        <f aca="false">IF(M160="","",ROUND(M160*IFERROR(INDEX(Weights!$B$2:$B$4,MATCH(G160,Weights!$A$2:$A$4,0)),0)*IFERROR(INDEX(Weights!$B$7:$B$11,MATCH(E160,Weights!$A$7:$A$11,0)),0)*IFERROR(INDEX(Weights!$B$14:$B$17,MATCH(TEXT(J160,"0"),Weights!$A$14:$A$17,0)),0)/(1+N(N160)/50),1))</f>
        <v/>
      </c>
      <c r="Q160" s="5" t="s">
        <v>42</v>
      </c>
    </row>
    <row r="161" customFormat="false" ht="15" hidden="false" customHeight="false" outlineLevel="0" collapsed="false">
      <c r="A161" s="5" t="n">
        <v>160</v>
      </c>
      <c r="B161" s="5" t="s">
        <v>229</v>
      </c>
      <c r="C161" s="5" t="s">
        <v>74</v>
      </c>
      <c r="D161" s="5" t="s">
        <v>36</v>
      </c>
      <c r="E161" s="5" t="s">
        <v>37</v>
      </c>
      <c r="F161" s="5" t="s">
        <v>214</v>
      </c>
      <c r="G161" s="5" t="s">
        <v>39</v>
      </c>
      <c r="H161" s="5" t="s">
        <v>40</v>
      </c>
      <c r="I161" s="5" t="s">
        <v>75</v>
      </c>
      <c r="J161" s="5" t="n">
        <v>2</v>
      </c>
      <c r="K161" s="5"/>
      <c r="L161" s="6"/>
      <c r="M161" s="6"/>
      <c r="N161" s="6"/>
      <c r="O161" s="6"/>
      <c r="P161" s="5" t="str">
        <f aca="false">IF(M161="","",ROUND(M161*IFERROR(INDEX(Weights!$B$2:$B$4,MATCH(G161,Weights!$A$2:$A$4,0)),0)*IFERROR(INDEX(Weights!$B$7:$B$11,MATCH(E161,Weights!$A$7:$A$11,0)),0)*IFERROR(INDEX(Weights!$B$14:$B$17,MATCH(TEXT(J161,"0"),Weights!$A$14:$A$17,0)),0)/(1+N(N161)/50),1))</f>
        <v/>
      </c>
      <c r="Q161" s="5" t="s">
        <v>42</v>
      </c>
    </row>
    <row r="162" customFormat="false" ht="15" hidden="false" customHeight="false" outlineLevel="0" collapsed="false">
      <c r="A162" s="5" t="n">
        <v>161</v>
      </c>
      <c r="B162" s="5" t="s">
        <v>230</v>
      </c>
      <c r="C162" s="5" t="s">
        <v>74</v>
      </c>
      <c r="D162" s="5" t="s">
        <v>36</v>
      </c>
      <c r="E162" s="5" t="s">
        <v>37</v>
      </c>
      <c r="F162" s="5" t="s">
        <v>214</v>
      </c>
      <c r="G162" s="5" t="s">
        <v>39</v>
      </c>
      <c r="H162" s="5" t="s">
        <v>40</v>
      </c>
      <c r="I162" s="5" t="s">
        <v>75</v>
      </c>
      <c r="J162" s="5" t="n">
        <v>2</v>
      </c>
      <c r="K162" s="5"/>
      <c r="L162" s="6"/>
      <c r="M162" s="6"/>
      <c r="N162" s="6"/>
      <c r="O162" s="6"/>
      <c r="P162" s="5" t="str">
        <f aca="false">IF(M162="","",ROUND(M162*IFERROR(INDEX(Weights!$B$2:$B$4,MATCH(G162,Weights!$A$2:$A$4,0)),0)*IFERROR(INDEX(Weights!$B$7:$B$11,MATCH(E162,Weights!$A$7:$A$11,0)),0)*IFERROR(INDEX(Weights!$B$14:$B$17,MATCH(TEXT(J162,"0"),Weights!$A$14:$A$17,0)),0)/(1+N(N162)/50),1))</f>
        <v/>
      </c>
      <c r="Q162" s="5" t="s">
        <v>42</v>
      </c>
    </row>
    <row r="163" customFormat="false" ht="15" hidden="false" customHeight="false" outlineLevel="0" collapsed="false">
      <c r="A163" s="5" t="n">
        <v>162</v>
      </c>
      <c r="B163" s="5" t="s">
        <v>231</v>
      </c>
      <c r="C163" s="5" t="s">
        <v>78</v>
      </c>
      <c r="D163" s="5" t="s">
        <v>36</v>
      </c>
      <c r="E163" s="5" t="s">
        <v>37</v>
      </c>
      <c r="F163" s="5" t="s">
        <v>214</v>
      </c>
      <c r="G163" s="5" t="s">
        <v>39</v>
      </c>
      <c r="H163" s="5" t="s">
        <v>40</v>
      </c>
      <c r="I163" s="5" t="s">
        <v>79</v>
      </c>
      <c r="J163" s="5" t="n">
        <v>2</v>
      </c>
      <c r="K163" s="5"/>
      <c r="L163" s="6"/>
      <c r="M163" s="6"/>
      <c r="N163" s="6"/>
      <c r="O163" s="6"/>
      <c r="P163" s="5" t="str">
        <f aca="false">IF(M163="","",ROUND(M163*IFERROR(INDEX(Weights!$B$2:$B$4,MATCH(G163,Weights!$A$2:$A$4,0)),0)*IFERROR(INDEX(Weights!$B$7:$B$11,MATCH(E163,Weights!$A$7:$A$11,0)),0)*IFERROR(INDEX(Weights!$B$14:$B$17,MATCH(TEXT(J163,"0"),Weights!$A$14:$A$17,0)),0)/(1+N(N163)/50),1))</f>
        <v/>
      </c>
      <c r="Q163" s="5" t="s">
        <v>42</v>
      </c>
    </row>
    <row r="164" customFormat="false" ht="15" hidden="false" customHeight="false" outlineLevel="0" collapsed="false">
      <c r="A164" s="5" t="n">
        <v>163</v>
      </c>
      <c r="B164" s="5" t="s">
        <v>232</v>
      </c>
      <c r="C164" s="5" t="s">
        <v>35</v>
      </c>
      <c r="D164" s="5" t="s">
        <v>36</v>
      </c>
      <c r="E164" s="5" t="s">
        <v>37</v>
      </c>
      <c r="F164" s="5" t="s">
        <v>233</v>
      </c>
      <c r="G164" s="5" t="s">
        <v>39</v>
      </c>
      <c r="H164" s="5" t="s">
        <v>40</v>
      </c>
      <c r="I164" s="5" t="s">
        <v>41</v>
      </c>
      <c r="J164" s="5" t="n">
        <v>1</v>
      </c>
      <c r="K164" s="5"/>
      <c r="L164" s="6"/>
      <c r="M164" s="6"/>
      <c r="N164" s="6"/>
      <c r="O164" s="6"/>
      <c r="P164" s="5" t="str">
        <f aca="false">IF(M164="","",ROUND(M164*IFERROR(INDEX(Weights!$B$2:$B$4,MATCH(G164,Weights!$A$2:$A$4,0)),0)*IFERROR(INDEX(Weights!$B$7:$B$11,MATCH(E164,Weights!$A$7:$A$11,0)),0)*IFERROR(INDEX(Weights!$B$14:$B$17,MATCH(TEXT(J164,"0"),Weights!$A$14:$A$17,0)),0)/(1+N(N164)/50),1))</f>
        <v/>
      </c>
      <c r="Q164" s="5" t="s">
        <v>42</v>
      </c>
    </row>
    <row r="165" customFormat="false" ht="15" hidden="false" customHeight="false" outlineLevel="0" collapsed="false">
      <c r="A165" s="5" t="n">
        <v>164</v>
      </c>
      <c r="B165" s="5" t="s">
        <v>234</v>
      </c>
      <c r="C165" s="5" t="s">
        <v>35</v>
      </c>
      <c r="D165" s="5" t="s">
        <v>36</v>
      </c>
      <c r="E165" s="5" t="s">
        <v>37</v>
      </c>
      <c r="F165" s="5" t="s">
        <v>233</v>
      </c>
      <c r="G165" s="5" t="s">
        <v>39</v>
      </c>
      <c r="H165" s="5" t="s">
        <v>40</v>
      </c>
      <c r="I165" s="5" t="s">
        <v>44</v>
      </c>
      <c r="J165" s="5" t="n">
        <v>1</v>
      </c>
      <c r="K165" s="5"/>
      <c r="L165" s="6"/>
      <c r="M165" s="6"/>
      <c r="N165" s="6"/>
      <c r="O165" s="6"/>
      <c r="P165" s="5" t="str">
        <f aca="false">IF(M165="","",ROUND(M165*IFERROR(INDEX(Weights!$B$2:$B$4,MATCH(G165,Weights!$A$2:$A$4,0)),0)*IFERROR(INDEX(Weights!$B$7:$B$11,MATCH(E165,Weights!$A$7:$A$11,0)),0)*IFERROR(INDEX(Weights!$B$14:$B$17,MATCH(TEXT(J165,"0"),Weights!$A$14:$A$17,0)),0)/(1+N(N165)/50),1))</f>
        <v/>
      </c>
      <c r="Q165" s="5" t="s">
        <v>42</v>
      </c>
    </row>
    <row r="166" customFormat="false" ht="15" hidden="false" customHeight="false" outlineLevel="0" collapsed="false">
      <c r="A166" s="5" t="n">
        <v>165</v>
      </c>
      <c r="B166" s="5" t="s">
        <v>235</v>
      </c>
      <c r="C166" s="5" t="s">
        <v>35</v>
      </c>
      <c r="D166" s="5" t="s">
        <v>36</v>
      </c>
      <c r="E166" s="5" t="s">
        <v>37</v>
      </c>
      <c r="F166" s="5" t="s">
        <v>233</v>
      </c>
      <c r="G166" s="5" t="s">
        <v>39</v>
      </c>
      <c r="H166" s="5" t="s">
        <v>40</v>
      </c>
      <c r="I166" s="5" t="s">
        <v>44</v>
      </c>
      <c r="J166" s="5" t="n">
        <v>1</v>
      </c>
      <c r="K166" s="5"/>
      <c r="L166" s="6"/>
      <c r="M166" s="6"/>
      <c r="N166" s="6"/>
      <c r="O166" s="6"/>
      <c r="P166" s="5" t="str">
        <f aca="false">IF(M166="","",ROUND(M166*IFERROR(INDEX(Weights!$B$2:$B$4,MATCH(G166,Weights!$A$2:$A$4,0)),0)*IFERROR(INDEX(Weights!$B$7:$B$11,MATCH(E166,Weights!$A$7:$A$11,0)),0)*IFERROR(INDEX(Weights!$B$14:$B$17,MATCH(TEXT(J166,"0"),Weights!$A$14:$A$17,0)),0)/(1+N(N166)/50),1))</f>
        <v/>
      </c>
      <c r="Q166" s="5" t="s">
        <v>42</v>
      </c>
    </row>
    <row r="167" customFormat="false" ht="15" hidden="false" customHeight="false" outlineLevel="0" collapsed="false">
      <c r="A167" s="5" t="n">
        <v>166</v>
      </c>
      <c r="B167" s="5" t="s">
        <v>236</v>
      </c>
      <c r="C167" s="5" t="s">
        <v>47</v>
      </c>
      <c r="D167" s="5" t="s">
        <v>36</v>
      </c>
      <c r="E167" s="5" t="s">
        <v>37</v>
      </c>
      <c r="F167" s="5" t="s">
        <v>233</v>
      </c>
      <c r="G167" s="5" t="s">
        <v>39</v>
      </c>
      <c r="H167" s="5" t="s">
        <v>40</v>
      </c>
      <c r="I167" s="5" t="s">
        <v>48</v>
      </c>
      <c r="J167" s="5" t="n">
        <v>1</v>
      </c>
      <c r="K167" s="5"/>
      <c r="L167" s="6"/>
      <c r="M167" s="6"/>
      <c r="N167" s="6"/>
      <c r="O167" s="6"/>
      <c r="P167" s="5" t="str">
        <f aca="false">IF(M167="","",ROUND(M167*IFERROR(INDEX(Weights!$B$2:$B$4,MATCH(G167,Weights!$A$2:$A$4,0)),0)*IFERROR(INDEX(Weights!$B$7:$B$11,MATCH(E167,Weights!$A$7:$A$11,0)),0)*IFERROR(INDEX(Weights!$B$14:$B$17,MATCH(TEXT(J167,"0"),Weights!$A$14:$A$17,0)),0)/(1+N(N167)/50),1))</f>
        <v/>
      </c>
      <c r="Q167" s="5" t="s">
        <v>42</v>
      </c>
    </row>
    <row r="168" customFormat="false" ht="15" hidden="false" customHeight="false" outlineLevel="0" collapsed="false">
      <c r="A168" s="5" t="n">
        <v>167</v>
      </c>
      <c r="B168" s="5" t="s">
        <v>237</v>
      </c>
      <c r="C168" s="5" t="s">
        <v>47</v>
      </c>
      <c r="D168" s="5" t="s">
        <v>36</v>
      </c>
      <c r="E168" s="5" t="s">
        <v>37</v>
      </c>
      <c r="F168" s="5" t="s">
        <v>233</v>
      </c>
      <c r="G168" s="5" t="s">
        <v>39</v>
      </c>
      <c r="H168" s="5" t="s">
        <v>40</v>
      </c>
      <c r="I168" s="5" t="s">
        <v>48</v>
      </c>
      <c r="J168" s="5" t="n">
        <v>1</v>
      </c>
      <c r="K168" s="5"/>
      <c r="L168" s="6"/>
      <c r="M168" s="6"/>
      <c r="N168" s="6"/>
      <c r="O168" s="6"/>
      <c r="P168" s="5" t="str">
        <f aca="false">IF(M168="","",ROUND(M168*IFERROR(INDEX(Weights!$B$2:$B$4,MATCH(G168,Weights!$A$2:$A$4,0)),0)*IFERROR(INDEX(Weights!$B$7:$B$11,MATCH(E168,Weights!$A$7:$A$11,0)),0)*IFERROR(INDEX(Weights!$B$14:$B$17,MATCH(TEXT(J168,"0"),Weights!$A$14:$A$17,0)),0)/(1+N(N168)/50),1))</f>
        <v/>
      </c>
      <c r="Q168" s="5" t="s">
        <v>42</v>
      </c>
    </row>
    <row r="169" customFormat="false" ht="15" hidden="false" customHeight="false" outlineLevel="0" collapsed="false">
      <c r="A169" s="5" t="n">
        <v>168</v>
      </c>
      <c r="B169" s="5" t="s">
        <v>238</v>
      </c>
      <c r="C169" s="5" t="s">
        <v>51</v>
      </c>
      <c r="D169" s="5" t="s">
        <v>36</v>
      </c>
      <c r="E169" s="5" t="s">
        <v>37</v>
      </c>
      <c r="F169" s="5" t="s">
        <v>233</v>
      </c>
      <c r="G169" s="5" t="s">
        <v>39</v>
      </c>
      <c r="H169" s="5" t="s">
        <v>40</v>
      </c>
      <c r="I169" s="5" t="s">
        <v>52</v>
      </c>
      <c r="J169" s="5" t="n">
        <v>1</v>
      </c>
      <c r="K169" s="5"/>
      <c r="L169" s="6"/>
      <c r="M169" s="6"/>
      <c r="N169" s="6"/>
      <c r="O169" s="6"/>
      <c r="P169" s="5" t="str">
        <f aca="false">IF(M169="","",ROUND(M169*IFERROR(INDEX(Weights!$B$2:$B$4,MATCH(G169,Weights!$A$2:$A$4,0)),0)*IFERROR(INDEX(Weights!$B$7:$B$11,MATCH(E169,Weights!$A$7:$A$11,0)),0)*IFERROR(INDEX(Weights!$B$14:$B$17,MATCH(TEXT(J169,"0"),Weights!$A$14:$A$17,0)),0)/(1+N(N169)/50),1))</f>
        <v/>
      </c>
      <c r="Q169" s="5" t="s">
        <v>42</v>
      </c>
    </row>
    <row r="170" customFormat="false" ht="15" hidden="false" customHeight="false" outlineLevel="0" collapsed="false">
      <c r="A170" s="5" t="n">
        <v>169</v>
      </c>
      <c r="B170" s="5" t="s">
        <v>239</v>
      </c>
      <c r="C170" s="5" t="s">
        <v>54</v>
      </c>
      <c r="D170" s="5" t="s">
        <v>36</v>
      </c>
      <c r="E170" s="5" t="s">
        <v>37</v>
      </c>
      <c r="F170" s="5" t="s">
        <v>233</v>
      </c>
      <c r="G170" s="5" t="s">
        <v>39</v>
      </c>
      <c r="H170" s="5" t="s">
        <v>40</v>
      </c>
      <c r="I170" s="5" t="s">
        <v>55</v>
      </c>
      <c r="J170" s="5" t="n">
        <v>1</v>
      </c>
      <c r="K170" s="5"/>
      <c r="L170" s="6"/>
      <c r="M170" s="6"/>
      <c r="N170" s="6"/>
      <c r="O170" s="6"/>
      <c r="P170" s="5" t="str">
        <f aca="false">IF(M170="","",ROUND(M170*IFERROR(INDEX(Weights!$B$2:$B$4,MATCH(G170,Weights!$A$2:$A$4,0)),0)*IFERROR(INDEX(Weights!$B$7:$B$11,MATCH(E170,Weights!$A$7:$A$11,0)),0)*IFERROR(INDEX(Weights!$B$14:$B$17,MATCH(TEXT(J170,"0"),Weights!$A$14:$A$17,0)),0)/(1+N(N170)/50),1))</f>
        <v/>
      </c>
      <c r="Q170" s="5" t="s">
        <v>42</v>
      </c>
    </row>
    <row r="171" customFormat="false" ht="15" hidden="false" customHeight="false" outlineLevel="0" collapsed="false">
      <c r="A171" s="5" t="n">
        <v>170</v>
      </c>
      <c r="B171" s="5" t="s">
        <v>240</v>
      </c>
      <c r="C171" s="5" t="s">
        <v>57</v>
      </c>
      <c r="D171" s="5" t="s">
        <v>36</v>
      </c>
      <c r="E171" s="5" t="s">
        <v>37</v>
      </c>
      <c r="F171" s="5" t="s">
        <v>233</v>
      </c>
      <c r="G171" s="5" t="s">
        <v>39</v>
      </c>
      <c r="H171" s="5" t="s">
        <v>40</v>
      </c>
      <c r="I171" s="5" t="s">
        <v>58</v>
      </c>
      <c r="J171" s="5" t="n">
        <v>1</v>
      </c>
      <c r="K171" s="5"/>
      <c r="L171" s="6"/>
      <c r="M171" s="6"/>
      <c r="N171" s="6"/>
      <c r="O171" s="6"/>
      <c r="P171" s="5" t="str">
        <f aca="false">IF(M171="","",ROUND(M171*IFERROR(INDEX(Weights!$B$2:$B$4,MATCH(G171,Weights!$A$2:$A$4,0)),0)*IFERROR(INDEX(Weights!$B$7:$B$11,MATCH(E171,Weights!$A$7:$A$11,0)),0)*IFERROR(INDEX(Weights!$B$14:$B$17,MATCH(TEXT(J171,"0"),Weights!$A$14:$A$17,0)),0)/(1+N(N171)/50),1))</f>
        <v/>
      </c>
      <c r="Q171" s="5" t="s">
        <v>42</v>
      </c>
    </row>
    <row r="172" customFormat="false" ht="15" hidden="false" customHeight="false" outlineLevel="0" collapsed="false">
      <c r="A172" s="5" t="n">
        <v>171</v>
      </c>
      <c r="B172" s="5" t="s">
        <v>241</v>
      </c>
      <c r="C172" s="5" t="s">
        <v>57</v>
      </c>
      <c r="D172" s="5" t="s">
        <v>36</v>
      </c>
      <c r="E172" s="5" t="s">
        <v>37</v>
      </c>
      <c r="F172" s="5" t="s">
        <v>233</v>
      </c>
      <c r="G172" s="5" t="s">
        <v>39</v>
      </c>
      <c r="H172" s="5" t="s">
        <v>40</v>
      </c>
      <c r="I172" s="5" t="s">
        <v>58</v>
      </c>
      <c r="J172" s="5" t="n">
        <v>1</v>
      </c>
      <c r="K172" s="5"/>
      <c r="L172" s="6"/>
      <c r="M172" s="6"/>
      <c r="N172" s="6"/>
      <c r="O172" s="6"/>
      <c r="P172" s="5" t="str">
        <f aca="false">IF(M172="","",ROUND(M172*IFERROR(INDEX(Weights!$B$2:$B$4,MATCH(G172,Weights!$A$2:$A$4,0)),0)*IFERROR(INDEX(Weights!$B$7:$B$11,MATCH(E172,Weights!$A$7:$A$11,0)),0)*IFERROR(INDEX(Weights!$B$14:$B$17,MATCH(TEXT(J172,"0"),Weights!$A$14:$A$17,0)),0)/(1+N(N172)/50),1))</f>
        <v/>
      </c>
      <c r="Q172" s="5" t="s">
        <v>42</v>
      </c>
    </row>
    <row r="173" customFormat="false" ht="15" hidden="false" customHeight="false" outlineLevel="0" collapsed="false">
      <c r="A173" s="5" t="n">
        <v>172</v>
      </c>
      <c r="B173" s="5" t="s">
        <v>242</v>
      </c>
      <c r="C173" s="5" t="s">
        <v>61</v>
      </c>
      <c r="D173" s="5" t="s">
        <v>36</v>
      </c>
      <c r="E173" s="5" t="s">
        <v>37</v>
      </c>
      <c r="F173" s="5" t="s">
        <v>233</v>
      </c>
      <c r="G173" s="5" t="s">
        <v>39</v>
      </c>
      <c r="H173" s="5" t="s">
        <v>40</v>
      </c>
      <c r="I173" s="5" t="s">
        <v>62</v>
      </c>
      <c r="J173" s="5" t="n">
        <v>2</v>
      </c>
      <c r="K173" s="5"/>
      <c r="L173" s="6"/>
      <c r="M173" s="6"/>
      <c r="N173" s="6"/>
      <c r="O173" s="6"/>
      <c r="P173" s="5" t="str">
        <f aca="false">IF(M173="","",ROUND(M173*IFERROR(INDEX(Weights!$B$2:$B$4,MATCH(G173,Weights!$A$2:$A$4,0)),0)*IFERROR(INDEX(Weights!$B$7:$B$11,MATCH(E173,Weights!$A$7:$A$11,0)),0)*IFERROR(INDEX(Weights!$B$14:$B$17,MATCH(TEXT(J173,"0"),Weights!$A$14:$A$17,0)),0)/(1+N(N173)/50),1))</f>
        <v/>
      </c>
      <c r="Q173" s="5" t="s">
        <v>42</v>
      </c>
    </row>
    <row r="174" customFormat="false" ht="15" hidden="false" customHeight="false" outlineLevel="0" collapsed="false">
      <c r="A174" s="5" t="n">
        <v>173</v>
      </c>
      <c r="B174" s="5" t="s">
        <v>243</v>
      </c>
      <c r="C174" s="5" t="s">
        <v>64</v>
      </c>
      <c r="D174" s="5" t="s">
        <v>36</v>
      </c>
      <c r="E174" s="5" t="s">
        <v>37</v>
      </c>
      <c r="F174" s="5" t="s">
        <v>233</v>
      </c>
      <c r="G174" s="5" t="s">
        <v>39</v>
      </c>
      <c r="H174" s="5" t="s">
        <v>40</v>
      </c>
      <c r="I174" s="5" t="s">
        <v>64</v>
      </c>
      <c r="J174" s="5" t="n">
        <v>2</v>
      </c>
      <c r="K174" s="5"/>
      <c r="L174" s="6"/>
      <c r="M174" s="6"/>
      <c r="N174" s="6"/>
      <c r="O174" s="6"/>
      <c r="P174" s="5" t="str">
        <f aca="false">IF(M174="","",ROUND(M174*IFERROR(INDEX(Weights!$B$2:$B$4,MATCH(G174,Weights!$A$2:$A$4,0)),0)*IFERROR(INDEX(Weights!$B$7:$B$11,MATCH(E174,Weights!$A$7:$A$11,0)),0)*IFERROR(INDEX(Weights!$B$14:$B$17,MATCH(TEXT(J174,"0"),Weights!$A$14:$A$17,0)),0)/(1+N(N174)/50),1))</f>
        <v/>
      </c>
      <c r="Q174" s="5" t="s">
        <v>42</v>
      </c>
    </row>
    <row r="175" customFormat="false" ht="15" hidden="false" customHeight="false" outlineLevel="0" collapsed="false">
      <c r="A175" s="5" t="n">
        <v>174</v>
      </c>
      <c r="B175" s="5" t="s">
        <v>244</v>
      </c>
      <c r="C175" s="5" t="s">
        <v>66</v>
      </c>
      <c r="D175" s="5" t="s">
        <v>36</v>
      </c>
      <c r="E175" s="5" t="s">
        <v>37</v>
      </c>
      <c r="F175" s="5" t="s">
        <v>233</v>
      </c>
      <c r="G175" s="5" t="s">
        <v>39</v>
      </c>
      <c r="H175" s="5" t="s">
        <v>40</v>
      </c>
      <c r="I175" s="5" t="s">
        <v>67</v>
      </c>
      <c r="J175" s="5" t="n">
        <v>3</v>
      </c>
      <c r="K175" s="5"/>
      <c r="L175" s="6"/>
      <c r="M175" s="6"/>
      <c r="N175" s="6"/>
      <c r="O175" s="6"/>
      <c r="P175" s="5" t="str">
        <f aca="false">IF(M175="","",ROUND(M175*IFERROR(INDEX(Weights!$B$2:$B$4,MATCH(G175,Weights!$A$2:$A$4,0)),0)*IFERROR(INDEX(Weights!$B$7:$B$11,MATCH(E175,Weights!$A$7:$A$11,0)),0)*IFERROR(INDEX(Weights!$B$14:$B$17,MATCH(TEXT(J175,"0"),Weights!$A$14:$A$17,0)),0)/(1+N(N175)/50),1))</f>
        <v/>
      </c>
      <c r="Q175" s="5" t="s">
        <v>42</v>
      </c>
    </row>
    <row r="176" customFormat="false" ht="15" hidden="false" customHeight="false" outlineLevel="0" collapsed="false">
      <c r="A176" s="5" t="n">
        <v>175</v>
      </c>
      <c r="B176" s="5" t="s">
        <v>245</v>
      </c>
      <c r="C176" s="5" t="s">
        <v>69</v>
      </c>
      <c r="D176" s="5" t="s">
        <v>36</v>
      </c>
      <c r="E176" s="5" t="s">
        <v>37</v>
      </c>
      <c r="F176" s="5" t="s">
        <v>233</v>
      </c>
      <c r="G176" s="5" t="s">
        <v>39</v>
      </c>
      <c r="H176" s="5" t="s">
        <v>40</v>
      </c>
      <c r="I176" s="5" t="s">
        <v>70</v>
      </c>
      <c r="J176" s="5" t="n">
        <v>3</v>
      </c>
      <c r="K176" s="5"/>
      <c r="L176" s="6"/>
      <c r="M176" s="6"/>
      <c r="N176" s="6"/>
      <c r="O176" s="6"/>
      <c r="P176" s="5" t="str">
        <f aca="false">IF(M176="","",ROUND(M176*IFERROR(INDEX(Weights!$B$2:$B$4,MATCH(G176,Weights!$A$2:$A$4,0)),0)*IFERROR(INDEX(Weights!$B$7:$B$11,MATCH(E176,Weights!$A$7:$A$11,0)),0)*IFERROR(INDEX(Weights!$B$14:$B$17,MATCH(TEXT(J176,"0"),Weights!$A$14:$A$17,0)),0)/(1+N(N176)/50),1))</f>
        <v/>
      </c>
      <c r="Q176" s="5" t="s">
        <v>42</v>
      </c>
    </row>
    <row r="177" customFormat="false" ht="15" hidden="false" customHeight="false" outlineLevel="0" collapsed="false">
      <c r="A177" s="5" t="n">
        <v>176</v>
      </c>
      <c r="B177" s="5" t="s">
        <v>246</v>
      </c>
      <c r="C177" s="5" t="s">
        <v>69</v>
      </c>
      <c r="D177" s="5" t="s">
        <v>36</v>
      </c>
      <c r="E177" s="5" t="s">
        <v>37</v>
      </c>
      <c r="F177" s="5" t="s">
        <v>233</v>
      </c>
      <c r="G177" s="5" t="s">
        <v>39</v>
      </c>
      <c r="H177" s="5" t="s">
        <v>40</v>
      </c>
      <c r="I177" s="5" t="s">
        <v>70</v>
      </c>
      <c r="J177" s="5" t="n">
        <v>3</v>
      </c>
      <c r="K177" s="5"/>
      <c r="L177" s="6"/>
      <c r="M177" s="6"/>
      <c r="N177" s="6"/>
      <c r="O177" s="6"/>
      <c r="P177" s="5" t="str">
        <f aca="false">IF(M177="","",ROUND(M177*IFERROR(INDEX(Weights!$B$2:$B$4,MATCH(G177,Weights!$A$2:$A$4,0)),0)*IFERROR(INDEX(Weights!$B$7:$B$11,MATCH(E177,Weights!$A$7:$A$11,0)),0)*IFERROR(INDEX(Weights!$B$14:$B$17,MATCH(TEXT(J177,"0"),Weights!$A$14:$A$17,0)),0)/(1+N(N177)/50),1))</f>
        <v/>
      </c>
      <c r="Q177" s="5" t="s">
        <v>42</v>
      </c>
    </row>
    <row r="178" customFormat="false" ht="15" hidden="false" customHeight="false" outlineLevel="0" collapsed="false">
      <c r="A178" s="5" t="n">
        <v>177</v>
      </c>
      <c r="B178" s="5" t="s">
        <v>247</v>
      </c>
      <c r="C178" s="5" t="s">
        <v>64</v>
      </c>
      <c r="D178" s="5" t="s">
        <v>36</v>
      </c>
      <c r="E178" s="5" t="s">
        <v>37</v>
      </c>
      <c r="F178" s="5" t="s">
        <v>233</v>
      </c>
      <c r="G178" s="5" t="s">
        <v>39</v>
      </c>
      <c r="H178" s="5" t="s">
        <v>40</v>
      </c>
      <c r="I178" s="5" t="s">
        <v>64</v>
      </c>
      <c r="J178" s="5" t="n">
        <v>2</v>
      </c>
      <c r="K178" s="5"/>
      <c r="L178" s="6"/>
      <c r="M178" s="6"/>
      <c r="N178" s="6"/>
      <c r="O178" s="6"/>
      <c r="P178" s="5" t="str">
        <f aca="false">IF(M178="","",ROUND(M178*IFERROR(INDEX(Weights!$B$2:$B$4,MATCH(G178,Weights!$A$2:$A$4,0)),0)*IFERROR(INDEX(Weights!$B$7:$B$11,MATCH(E178,Weights!$A$7:$A$11,0)),0)*IFERROR(INDEX(Weights!$B$14:$B$17,MATCH(TEXT(J178,"0"),Weights!$A$14:$A$17,0)),0)/(1+N(N178)/50),1))</f>
        <v/>
      </c>
      <c r="Q178" s="5" t="s">
        <v>42</v>
      </c>
    </row>
    <row r="179" customFormat="false" ht="15" hidden="false" customHeight="false" outlineLevel="0" collapsed="false">
      <c r="A179" s="5" t="n">
        <v>178</v>
      </c>
      <c r="B179" s="5" t="s">
        <v>248</v>
      </c>
      <c r="C179" s="5" t="s">
        <v>74</v>
      </c>
      <c r="D179" s="5" t="s">
        <v>36</v>
      </c>
      <c r="E179" s="5" t="s">
        <v>37</v>
      </c>
      <c r="F179" s="5" t="s">
        <v>233</v>
      </c>
      <c r="G179" s="5" t="s">
        <v>39</v>
      </c>
      <c r="H179" s="5" t="s">
        <v>40</v>
      </c>
      <c r="I179" s="5" t="s">
        <v>75</v>
      </c>
      <c r="J179" s="5" t="n">
        <v>2</v>
      </c>
      <c r="K179" s="5"/>
      <c r="L179" s="6"/>
      <c r="M179" s="6"/>
      <c r="N179" s="6"/>
      <c r="O179" s="6"/>
      <c r="P179" s="5" t="str">
        <f aca="false">IF(M179="","",ROUND(M179*IFERROR(INDEX(Weights!$B$2:$B$4,MATCH(G179,Weights!$A$2:$A$4,0)),0)*IFERROR(INDEX(Weights!$B$7:$B$11,MATCH(E179,Weights!$A$7:$A$11,0)),0)*IFERROR(INDEX(Weights!$B$14:$B$17,MATCH(TEXT(J179,"0"),Weights!$A$14:$A$17,0)),0)/(1+N(N179)/50),1))</f>
        <v/>
      </c>
      <c r="Q179" s="5" t="s">
        <v>42</v>
      </c>
    </row>
    <row r="180" customFormat="false" ht="15" hidden="false" customHeight="false" outlineLevel="0" collapsed="false">
      <c r="A180" s="5" t="n">
        <v>179</v>
      </c>
      <c r="B180" s="5" t="s">
        <v>249</v>
      </c>
      <c r="C180" s="5" t="s">
        <v>74</v>
      </c>
      <c r="D180" s="5" t="s">
        <v>36</v>
      </c>
      <c r="E180" s="5" t="s">
        <v>37</v>
      </c>
      <c r="F180" s="5" t="s">
        <v>233</v>
      </c>
      <c r="G180" s="5" t="s">
        <v>39</v>
      </c>
      <c r="H180" s="5" t="s">
        <v>40</v>
      </c>
      <c r="I180" s="5" t="s">
        <v>75</v>
      </c>
      <c r="J180" s="5" t="n">
        <v>2</v>
      </c>
      <c r="K180" s="5"/>
      <c r="L180" s="6"/>
      <c r="M180" s="6"/>
      <c r="N180" s="6"/>
      <c r="O180" s="6"/>
      <c r="P180" s="5" t="str">
        <f aca="false">IF(M180="","",ROUND(M180*IFERROR(INDEX(Weights!$B$2:$B$4,MATCH(G180,Weights!$A$2:$A$4,0)),0)*IFERROR(INDEX(Weights!$B$7:$B$11,MATCH(E180,Weights!$A$7:$A$11,0)),0)*IFERROR(INDEX(Weights!$B$14:$B$17,MATCH(TEXT(J180,"0"),Weights!$A$14:$A$17,0)),0)/(1+N(N180)/50),1))</f>
        <v/>
      </c>
      <c r="Q180" s="5" t="s">
        <v>42</v>
      </c>
    </row>
    <row r="181" customFormat="false" ht="15" hidden="false" customHeight="false" outlineLevel="0" collapsed="false">
      <c r="A181" s="5" t="n">
        <v>180</v>
      </c>
      <c r="B181" s="5" t="s">
        <v>250</v>
      </c>
      <c r="C181" s="5" t="s">
        <v>78</v>
      </c>
      <c r="D181" s="5" t="s">
        <v>36</v>
      </c>
      <c r="E181" s="5" t="s">
        <v>37</v>
      </c>
      <c r="F181" s="5" t="s">
        <v>233</v>
      </c>
      <c r="G181" s="5" t="s">
        <v>39</v>
      </c>
      <c r="H181" s="5" t="s">
        <v>40</v>
      </c>
      <c r="I181" s="5" t="s">
        <v>79</v>
      </c>
      <c r="J181" s="5" t="n">
        <v>2</v>
      </c>
      <c r="K181" s="5"/>
      <c r="L181" s="6"/>
      <c r="M181" s="6"/>
      <c r="N181" s="6"/>
      <c r="O181" s="6"/>
      <c r="P181" s="5" t="str">
        <f aca="false">IF(M181="","",ROUND(M181*IFERROR(INDEX(Weights!$B$2:$B$4,MATCH(G181,Weights!$A$2:$A$4,0)),0)*IFERROR(INDEX(Weights!$B$7:$B$11,MATCH(E181,Weights!$A$7:$A$11,0)),0)*IFERROR(INDEX(Weights!$B$14:$B$17,MATCH(TEXT(J181,"0"),Weights!$A$14:$A$17,0)),0)/(1+N(N181)/50),1))</f>
        <v/>
      </c>
      <c r="Q181" s="5" t="s">
        <v>42</v>
      </c>
    </row>
    <row r="182" customFormat="false" ht="15" hidden="false" customHeight="false" outlineLevel="0" collapsed="false">
      <c r="A182" s="5" t="n">
        <v>181</v>
      </c>
      <c r="B182" s="5" t="s">
        <v>251</v>
      </c>
      <c r="C182" s="5" t="s">
        <v>35</v>
      </c>
      <c r="D182" s="5" t="s">
        <v>36</v>
      </c>
      <c r="E182" s="5" t="s">
        <v>37</v>
      </c>
      <c r="F182" s="5" t="s">
        <v>252</v>
      </c>
      <c r="G182" s="5" t="s">
        <v>39</v>
      </c>
      <c r="H182" s="5" t="s">
        <v>40</v>
      </c>
      <c r="I182" s="5" t="s">
        <v>41</v>
      </c>
      <c r="J182" s="5" t="n">
        <v>1</v>
      </c>
      <c r="K182" s="5"/>
      <c r="L182" s="6"/>
      <c r="M182" s="6"/>
      <c r="N182" s="6"/>
      <c r="O182" s="6"/>
      <c r="P182" s="5" t="str">
        <f aca="false">IF(M182="","",ROUND(M182*IFERROR(INDEX(Weights!$B$2:$B$4,MATCH(G182,Weights!$A$2:$A$4,0)),0)*IFERROR(INDEX(Weights!$B$7:$B$11,MATCH(E182,Weights!$A$7:$A$11,0)),0)*IFERROR(INDEX(Weights!$B$14:$B$17,MATCH(TEXT(J182,"0"),Weights!$A$14:$A$17,0)),0)/(1+N(N182)/50),1))</f>
        <v/>
      </c>
      <c r="Q182" s="5" t="s">
        <v>42</v>
      </c>
    </row>
    <row r="183" customFormat="false" ht="15" hidden="false" customHeight="false" outlineLevel="0" collapsed="false">
      <c r="A183" s="5" t="n">
        <v>182</v>
      </c>
      <c r="B183" s="5" t="s">
        <v>253</v>
      </c>
      <c r="C183" s="5" t="s">
        <v>35</v>
      </c>
      <c r="D183" s="5" t="s">
        <v>36</v>
      </c>
      <c r="E183" s="5" t="s">
        <v>37</v>
      </c>
      <c r="F183" s="5" t="s">
        <v>252</v>
      </c>
      <c r="G183" s="5" t="s">
        <v>39</v>
      </c>
      <c r="H183" s="5" t="s">
        <v>40</v>
      </c>
      <c r="I183" s="5" t="s">
        <v>44</v>
      </c>
      <c r="J183" s="5" t="n">
        <v>1</v>
      </c>
      <c r="K183" s="5"/>
      <c r="L183" s="6"/>
      <c r="M183" s="6"/>
      <c r="N183" s="6"/>
      <c r="O183" s="6"/>
      <c r="P183" s="5" t="str">
        <f aca="false">IF(M183="","",ROUND(M183*IFERROR(INDEX(Weights!$B$2:$B$4,MATCH(G183,Weights!$A$2:$A$4,0)),0)*IFERROR(INDEX(Weights!$B$7:$B$11,MATCH(E183,Weights!$A$7:$A$11,0)),0)*IFERROR(INDEX(Weights!$B$14:$B$17,MATCH(TEXT(J183,"0"),Weights!$A$14:$A$17,0)),0)/(1+N(N183)/50),1))</f>
        <v/>
      </c>
      <c r="Q183" s="5" t="s">
        <v>42</v>
      </c>
    </row>
    <row r="184" customFormat="false" ht="15" hidden="false" customHeight="false" outlineLevel="0" collapsed="false">
      <c r="A184" s="5" t="n">
        <v>183</v>
      </c>
      <c r="B184" s="5" t="s">
        <v>254</v>
      </c>
      <c r="C184" s="5" t="s">
        <v>35</v>
      </c>
      <c r="D184" s="5" t="s">
        <v>36</v>
      </c>
      <c r="E184" s="5" t="s">
        <v>37</v>
      </c>
      <c r="F184" s="5" t="s">
        <v>252</v>
      </c>
      <c r="G184" s="5" t="s">
        <v>39</v>
      </c>
      <c r="H184" s="5" t="s">
        <v>40</v>
      </c>
      <c r="I184" s="5" t="s">
        <v>44</v>
      </c>
      <c r="J184" s="5" t="n">
        <v>1</v>
      </c>
      <c r="K184" s="5"/>
      <c r="L184" s="6"/>
      <c r="M184" s="6"/>
      <c r="N184" s="6"/>
      <c r="O184" s="6"/>
      <c r="P184" s="5" t="str">
        <f aca="false">IF(M184="","",ROUND(M184*IFERROR(INDEX(Weights!$B$2:$B$4,MATCH(G184,Weights!$A$2:$A$4,0)),0)*IFERROR(INDEX(Weights!$B$7:$B$11,MATCH(E184,Weights!$A$7:$A$11,0)),0)*IFERROR(INDEX(Weights!$B$14:$B$17,MATCH(TEXT(J184,"0"),Weights!$A$14:$A$17,0)),0)/(1+N(N184)/50),1))</f>
        <v/>
      </c>
      <c r="Q184" s="5" t="s">
        <v>42</v>
      </c>
    </row>
    <row r="185" customFormat="false" ht="15" hidden="false" customHeight="false" outlineLevel="0" collapsed="false">
      <c r="A185" s="5" t="n">
        <v>184</v>
      </c>
      <c r="B185" s="5" t="s">
        <v>255</v>
      </c>
      <c r="C185" s="5" t="s">
        <v>47</v>
      </c>
      <c r="D185" s="5" t="s">
        <v>36</v>
      </c>
      <c r="E185" s="5" t="s">
        <v>37</v>
      </c>
      <c r="F185" s="5" t="s">
        <v>252</v>
      </c>
      <c r="G185" s="5" t="s">
        <v>39</v>
      </c>
      <c r="H185" s="5" t="s">
        <v>40</v>
      </c>
      <c r="I185" s="5" t="s">
        <v>48</v>
      </c>
      <c r="J185" s="5" t="n">
        <v>1</v>
      </c>
      <c r="K185" s="5"/>
      <c r="L185" s="6"/>
      <c r="M185" s="6"/>
      <c r="N185" s="6"/>
      <c r="O185" s="6"/>
      <c r="P185" s="5" t="str">
        <f aca="false">IF(M185="","",ROUND(M185*IFERROR(INDEX(Weights!$B$2:$B$4,MATCH(G185,Weights!$A$2:$A$4,0)),0)*IFERROR(INDEX(Weights!$B$7:$B$11,MATCH(E185,Weights!$A$7:$A$11,0)),0)*IFERROR(INDEX(Weights!$B$14:$B$17,MATCH(TEXT(J185,"0"),Weights!$A$14:$A$17,0)),0)/(1+N(N185)/50),1))</f>
        <v/>
      </c>
      <c r="Q185" s="5" t="s">
        <v>42</v>
      </c>
    </row>
    <row r="186" customFormat="false" ht="15" hidden="false" customHeight="false" outlineLevel="0" collapsed="false">
      <c r="A186" s="5" t="n">
        <v>185</v>
      </c>
      <c r="B186" s="5" t="s">
        <v>256</v>
      </c>
      <c r="C186" s="5" t="s">
        <v>47</v>
      </c>
      <c r="D186" s="5" t="s">
        <v>36</v>
      </c>
      <c r="E186" s="5" t="s">
        <v>37</v>
      </c>
      <c r="F186" s="5" t="s">
        <v>252</v>
      </c>
      <c r="G186" s="5" t="s">
        <v>39</v>
      </c>
      <c r="H186" s="5" t="s">
        <v>40</v>
      </c>
      <c r="I186" s="5" t="s">
        <v>48</v>
      </c>
      <c r="J186" s="5" t="n">
        <v>1</v>
      </c>
      <c r="K186" s="5"/>
      <c r="L186" s="6"/>
      <c r="M186" s="6"/>
      <c r="N186" s="6"/>
      <c r="O186" s="6"/>
      <c r="P186" s="5" t="str">
        <f aca="false">IF(M186="","",ROUND(M186*IFERROR(INDEX(Weights!$B$2:$B$4,MATCH(G186,Weights!$A$2:$A$4,0)),0)*IFERROR(INDEX(Weights!$B$7:$B$11,MATCH(E186,Weights!$A$7:$A$11,0)),0)*IFERROR(INDEX(Weights!$B$14:$B$17,MATCH(TEXT(J186,"0"),Weights!$A$14:$A$17,0)),0)/(1+N(N186)/50),1))</f>
        <v/>
      </c>
      <c r="Q186" s="5" t="s">
        <v>42</v>
      </c>
    </row>
    <row r="187" customFormat="false" ht="15" hidden="false" customHeight="false" outlineLevel="0" collapsed="false">
      <c r="A187" s="5" t="n">
        <v>186</v>
      </c>
      <c r="B187" s="5" t="s">
        <v>257</v>
      </c>
      <c r="C187" s="5" t="s">
        <v>51</v>
      </c>
      <c r="D187" s="5" t="s">
        <v>36</v>
      </c>
      <c r="E187" s="5" t="s">
        <v>37</v>
      </c>
      <c r="F187" s="5" t="s">
        <v>252</v>
      </c>
      <c r="G187" s="5" t="s">
        <v>39</v>
      </c>
      <c r="H187" s="5" t="s">
        <v>40</v>
      </c>
      <c r="I187" s="5" t="s">
        <v>52</v>
      </c>
      <c r="J187" s="5" t="n">
        <v>1</v>
      </c>
      <c r="K187" s="5"/>
      <c r="L187" s="6"/>
      <c r="M187" s="6"/>
      <c r="N187" s="6"/>
      <c r="O187" s="6"/>
      <c r="P187" s="5" t="str">
        <f aca="false">IF(M187="","",ROUND(M187*IFERROR(INDEX(Weights!$B$2:$B$4,MATCH(G187,Weights!$A$2:$A$4,0)),0)*IFERROR(INDEX(Weights!$B$7:$B$11,MATCH(E187,Weights!$A$7:$A$11,0)),0)*IFERROR(INDEX(Weights!$B$14:$B$17,MATCH(TEXT(J187,"0"),Weights!$A$14:$A$17,0)),0)/(1+N(N187)/50),1))</f>
        <v/>
      </c>
      <c r="Q187" s="5" t="s">
        <v>42</v>
      </c>
    </row>
    <row r="188" customFormat="false" ht="15" hidden="false" customHeight="false" outlineLevel="0" collapsed="false">
      <c r="A188" s="5" t="n">
        <v>187</v>
      </c>
      <c r="B188" s="5" t="s">
        <v>258</v>
      </c>
      <c r="C188" s="5" t="s">
        <v>54</v>
      </c>
      <c r="D188" s="5" t="s">
        <v>36</v>
      </c>
      <c r="E188" s="5" t="s">
        <v>37</v>
      </c>
      <c r="F188" s="5" t="s">
        <v>252</v>
      </c>
      <c r="G188" s="5" t="s">
        <v>39</v>
      </c>
      <c r="H188" s="5" t="s">
        <v>40</v>
      </c>
      <c r="I188" s="5" t="s">
        <v>55</v>
      </c>
      <c r="J188" s="5" t="n">
        <v>1</v>
      </c>
      <c r="K188" s="5"/>
      <c r="L188" s="6"/>
      <c r="M188" s="6"/>
      <c r="N188" s="6"/>
      <c r="O188" s="6"/>
      <c r="P188" s="5" t="str">
        <f aca="false">IF(M188="","",ROUND(M188*IFERROR(INDEX(Weights!$B$2:$B$4,MATCH(G188,Weights!$A$2:$A$4,0)),0)*IFERROR(INDEX(Weights!$B$7:$B$11,MATCH(E188,Weights!$A$7:$A$11,0)),0)*IFERROR(INDEX(Weights!$B$14:$B$17,MATCH(TEXT(J188,"0"),Weights!$A$14:$A$17,0)),0)/(1+N(N188)/50),1))</f>
        <v/>
      </c>
      <c r="Q188" s="5" t="s">
        <v>42</v>
      </c>
    </row>
    <row r="189" customFormat="false" ht="15" hidden="false" customHeight="false" outlineLevel="0" collapsed="false">
      <c r="A189" s="5" t="n">
        <v>188</v>
      </c>
      <c r="B189" s="5" t="s">
        <v>259</v>
      </c>
      <c r="C189" s="5" t="s">
        <v>57</v>
      </c>
      <c r="D189" s="5" t="s">
        <v>36</v>
      </c>
      <c r="E189" s="5" t="s">
        <v>37</v>
      </c>
      <c r="F189" s="5" t="s">
        <v>252</v>
      </c>
      <c r="G189" s="5" t="s">
        <v>39</v>
      </c>
      <c r="H189" s="5" t="s">
        <v>40</v>
      </c>
      <c r="I189" s="5" t="s">
        <v>58</v>
      </c>
      <c r="J189" s="5" t="n">
        <v>1</v>
      </c>
      <c r="K189" s="5"/>
      <c r="L189" s="6"/>
      <c r="M189" s="6"/>
      <c r="N189" s="6"/>
      <c r="O189" s="6"/>
      <c r="P189" s="5" t="str">
        <f aca="false">IF(M189="","",ROUND(M189*IFERROR(INDEX(Weights!$B$2:$B$4,MATCH(G189,Weights!$A$2:$A$4,0)),0)*IFERROR(INDEX(Weights!$B$7:$B$11,MATCH(E189,Weights!$A$7:$A$11,0)),0)*IFERROR(INDEX(Weights!$B$14:$B$17,MATCH(TEXT(J189,"0"),Weights!$A$14:$A$17,0)),0)/(1+N(N189)/50),1))</f>
        <v/>
      </c>
      <c r="Q189" s="5" t="s">
        <v>42</v>
      </c>
    </row>
    <row r="190" customFormat="false" ht="15" hidden="false" customHeight="false" outlineLevel="0" collapsed="false">
      <c r="A190" s="5" t="n">
        <v>189</v>
      </c>
      <c r="B190" s="5" t="s">
        <v>260</v>
      </c>
      <c r="C190" s="5" t="s">
        <v>57</v>
      </c>
      <c r="D190" s="5" t="s">
        <v>36</v>
      </c>
      <c r="E190" s="5" t="s">
        <v>37</v>
      </c>
      <c r="F190" s="5" t="s">
        <v>252</v>
      </c>
      <c r="G190" s="5" t="s">
        <v>39</v>
      </c>
      <c r="H190" s="5" t="s">
        <v>40</v>
      </c>
      <c r="I190" s="5" t="s">
        <v>58</v>
      </c>
      <c r="J190" s="5" t="n">
        <v>1</v>
      </c>
      <c r="K190" s="5"/>
      <c r="L190" s="6"/>
      <c r="M190" s="6"/>
      <c r="N190" s="6"/>
      <c r="O190" s="6"/>
      <c r="P190" s="5" t="str">
        <f aca="false">IF(M190="","",ROUND(M190*IFERROR(INDEX(Weights!$B$2:$B$4,MATCH(G190,Weights!$A$2:$A$4,0)),0)*IFERROR(INDEX(Weights!$B$7:$B$11,MATCH(E190,Weights!$A$7:$A$11,0)),0)*IFERROR(INDEX(Weights!$B$14:$B$17,MATCH(TEXT(J190,"0"),Weights!$A$14:$A$17,0)),0)/(1+N(N190)/50),1))</f>
        <v/>
      </c>
      <c r="Q190" s="5" t="s">
        <v>42</v>
      </c>
    </row>
    <row r="191" customFormat="false" ht="15" hidden="false" customHeight="false" outlineLevel="0" collapsed="false">
      <c r="A191" s="5" t="n">
        <v>190</v>
      </c>
      <c r="B191" s="5" t="s">
        <v>261</v>
      </c>
      <c r="C191" s="5" t="s">
        <v>61</v>
      </c>
      <c r="D191" s="5" t="s">
        <v>36</v>
      </c>
      <c r="E191" s="5" t="s">
        <v>37</v>
      </c>
      <c r="F191" s="5" t="s">
        <v>252</v>
      </c>
      <c r="G191" s="5" t="s">
        <v>39</v>
      </c>
      <c r="H191" s="5" t="s">
        <v>40</v>
      </c>
      <c r="I191" s="5" t="s">
        <v>62</v>
      </c>
      <c r="J191" s="5" t="n">
        <v>2</v>
      </c>
      <c r="K191" s="5"/>
      <c r="L191" s="6"/>
      <c r="M191" s="6"/>
      <c r="N191" s="6"/>
      <c r="O191" s="6"/>
      <c r="P191" s="5" t="str">
        <f aca="false">IF(M191="","",ROUND(M191*IFERROR(INDEX(Weights!$B$2:$B$4,MATCH(G191,Weights!$A$2:$A$4,0)),0)*IFERROR(INDEX(Weights!$B$7:$B$11,MATCH(E191,Weights!$A$7:$A$11,0)),0)*IFERROR(INDEX(Weights!$B$14:$B$17,MATCH(TEXT(J191,"0"),Weights!$A$14:$A$17,0)),0)/(1+N(N191)/50),1))</f>
        <v/>
      </c>
      <c r="Q191" s="5" t="s">
        <v>42</v>
      </c>
    </row>
    <row r="192" customFormat="false" ht="15" hidden="false" customHeight="false" outlineLevel="0" collapsed="false">
      <c r="A192" s="5" t="n">
        <v>191</v>
      </c>
      <c r="B192" s="5" t="s">
        <v>262</v>
      </c>
      <c r="C192" s="5" t="s">
        <v>64</v>
      </c>
      <c r="D192" s="5" t="s">
        <v>36</v>
      </c>
      <c r="E192" s="5" t="s">
        <v>37</v>
      </c>
      <c r="F192" s="5" t="s">
        <v>252</v>
      </c>
      <c r="G192" s="5" t="s">
        <v>39</v>
      </c>
      <c r="H192" s="5" t="s">
        <v>40</v>
      </c>
      <c r="I192" s="5" t="s">
        <v>64</v>
      </c>
      <c r="J192" s="5" t="n">
        <v>2</v>
      </c>
      <c r="K192" s="5"/>
      <c r="L192" s="6"/>
      <c r="M192" s="6"/>
      <c r="N192" s="6"/>
      <c r="O192" s="6"/>
      <c r="P192" s="5" t="str">
        <f aca="false">IF(M192="","",ROUND(M192*IFERROR(INDEX(Weights!$B$2:$B$4,MATCH(G192,Weights!$A$2:$A$4,0)),0)*IFERROR(INDEX(Weights!$B$7:$B$11,MATCH(E192,Weights!$A$7:$A$11,0)),0)*IFERROR(INDEX(Weights!$B$14:$B$17,MATCH(TEXT(J192,"0"),Weights!$A$14:$A$17,0)),0)/(1+N(N192)/50),1))</f>
        <v/>
      </c>
      <c r="Q192" s="5" t="s">
        <v>42</v>
      </c>
    </row>
    <row r="193" customFormat="false" ht="15" hidden="false" customHeight="false" outlineLevel="0" collapsed="false">
      <c r="A193" s="5" t="n">
        <v>192</v>
      </c>
      <c r="B193" s="5" t="s">
        <v>263</v>
      </c>
      <c r="C193" s="5" t="s">
        <v>66</v>
      </c>
      <c r="D193" s="5" t="s">
        <v>36</v>
      </c>
      <c r="E193" s="5" t="s">
        <v>37</v>
      </c>
      <c r="F193" s="5" t="s">
        <v>252</v>
      </c>
      <c r="G193" s="5" t="s">
        <v>39</v>
      </c>
      <c r="H193" s="5" t="s">
        <v>40</v>
      </c>
      <c r="I193" s="5" t="s">
        <v>67</v>
      </c>
      <c r="J193" s="5" t="n">
        <v>3</v>
      </c>
      <c r="K193" s="5"/>
      <c r="L193" s="6"/>
      <c r="M193" s="6"/>
      <c r="N193" s="6"/>
      <c r="O193" s="6"/>
      <c r="P193" s="5" t="str">
        <f aca="false">IF(M193="","",ROUND(M193*IFERROR(INDEX(Weights!$B$2:$B$4,MATCH(G193,Weights!$A$2:$A$4,0)),0)*IFERROR(INDEX(Weights!$B$7:$B$11,MATCH(E193,Weights!$A$7:$A$11,0)),0)*IFERROR(INDEX(Weights!$B$14:$B$17,MATCH(TEXT(J193,"0"),Weights!$A$14:$A$17,0)),0)/(1+N(N193)/50),1))</f>
        <v/>
      </c>
      <c r="Q193" s="5" t="s">
        <v>42</v>
      </c>
    </row>
    <row r="194" customFormat="false" ht="15" hidden="false" customHeight="false" outlineLevel="0" collapsed="false">
      <c r="A194" s="5" t="n">
        <v>193</v>
      </c>
      <c r="B194" s="5" t="s">
        <v>264</v>
      </c>
      <c r="C194" s="5" t="s">
        <v>69</v>
      </c>
      <c r="D194" s="5" t="s">
        <v>36</v>
      </c>
      <c r="E194" s="5" t="s">
        <v>37</v>
      </c>
      <c r="F194" s="5" t="s">
        <v>252</v>
      </c>
      <c r="G194" s="5" t="s">
        <v>39</v>
      </c>
      <c r="H194" s="5" t="s">
        <v>40</v>
      </c>
      <c r="I194" s="5" t="s">
        <v>70</v>
      </c>
      <c r="J194" s="5" t="n">
        <v>3</v>
      </c>
      <c r="K194" s="5"/>
      <c r="L194" s="6"/>
      <c r="M194" s="6"/>
      <c r="N194" s="6"/>
      <c r="O194" s="6"/>
      <c r="P194" s="5" t="str">
        <f aca="false">IF(M194="","",ROUND(M194*IFERROR(INDEX(Weights!$B$2:$B$4,MATCH(G194,Weights!$A$2:$A$4,0)),0)*IFERROR(INDEX(Weights!$B$7:$B$11,MATCH(E194,Weights!$A$7:$A$11,0)),0)*IFERROR(INDEX(Weights!$B$14:$B$17,MATCH(TEXT(J194,"0"),Weights!$A$14:$A$17,0)),0)/(1+N(N194)/50),1))</f>
        <v/>
      </c>
      <c r="Q194" s="5" t="s">
        <v>42</v>
      </c>
    </row>
    <row r="195" customFormat="false" ht="15" hidden="false" customHeight="false" outlineLevel="0" collapsed="false">
      <c r="A195" s="5" t="n">
        <v>194</v>
      </c>
      <c r="B195" s="5" t="s">
        <v>265</v>
      </c>
      <c r="C195" s="5" t="s">
        <v>69</v>
      </c>
      <c r="D195" s="5" t="s">
        <v>36</v>
      </c>
      <c r="E195" s="5" t="s">
        <v>37</v>
      </c>
      <c r="F195" s="5" t="s">
        <v>252</v>
      </c>
      <c r="G195" s="5" t="s">
        <v>39</v>
      </c>
      <c r="H195" s="5" t="s">
        <v>40</v>
      </c>
      <c r="I195" s="5" t="s">
        <v>70</v>
      </c>
      <c r="J195" s="5" t="n">
        <v>3</v>
      </c>
      <c r="K195" s="5"/>
      <c r="L195" s="6"/>
      <c r="M195" s="6"/>
      <c r="N195" s="6"/>
      <c r="O195" s="6"/>
      <c r="P195" s="5" t="str">
        <f aca="false">IF(M195="","",ROUND(M195*IFERROR(INDEX(Weights!$B$2:$B$4,MATCH(G195,Weights!$A$2:$A$4,0)),0)*IFERROR(INDEX(Weights!$B$7:$B$11,MATCH(E195,Weights!$A$7:$A$11,0)),0)*IFERROR(INDEX(Weights!$B$14:$B$17,MATCH(TEXT(J195,"0"),Weights!$A$14:$A$17,0)),0)/(1+N(N195)/50),1))</f>
        <v/>
      </c>
      <c r="Q195" s="5" t="s">
        <v>42</v>
      </c>
    </row>
    <row r="196" customFormat="false" ht="15" hidden="false" customHeight="false" outlineLevel="0" collapsed="false">
      <c r="A196" s="5" t="n">
        <v>195</v>
      </c>
      <c r="B196" s="5" t="s">
        <v>266</v>
      </c>
      <c r="C196" s="5" t="s">
        <v>64</v>
      </c>
      <c r="D196" s="5" t="s">
        <v>36</v>
      </c>
      <c r="E196" s="5" t="s">
        <v>37</v>
      </c>
      <c r="F196" s="5" t="s">
        <v>252</v>
      </c>
      <c r="G196" s="5" t="s">
        <v>39</v>
      </c>
      <c r="H196" s="5" t="s">
        <v>40</v>
      </c>
      <c r="I196" s="5" t="s">
        <v>64</v>
      </c>
      <c r="J196" s="5" t="n">
        <v>2</v>
      </c>
      <c r="K196" s="5"/>
      <c r="L196" s="6"/>
      <c r="M196" s="6"/>
      <c r="N196" s="6"/>
      <c r="O196" s="6"/>
      <c r="P196" s="5" t="str">
        <f aca="false">IF(M196="","",ROUND(M196*IFERROR(INDEX(Weights!$B$2:$B$4,MATCH(G196,Weights!$A$2:$A$4,0)),0)*IFERROR(INDEX(Weights!$B$7:$B$11,MATCH(E196,Weights!$A$7:$A$11,0)),0)*IFERROR(INDEX(Weights!$B$14:$B$17,MATCH(TEXT(J196,"0"),Weights!$A$14:$A$17,0)),0)/(1+N(N196)/50),1))</f>
        <v/>
      </c>
      <c r="Q196" s="5" t="s">
        <v>42</v>
      </c>
    </row>
    <row r="197" customFormat="false" ht="15" hidden="false" customHeight="false" outlineLevel="0" collapsed="false">
      <c r="A197" s="5" t="n">
        <v>196</v>
      </c>
      <c r="B197" s="5" t="s">
        <v>267</v>
      </c>
      <c r="C197" s="5" t="s">
        <v>74</v>
      </c>
      <c r="D197" s="5" t="s">
        <v>36</v>
      </c>
      <c r="E197" s="5" t="s">
        <v>37</v>
      </c>
      <c r="F197" s="5" t="s">
        <v>252</v>
      </c>
      <c r="G197" s="5" t="s">
        <v>39</v>
      </c>
      <c r="H197" s="5" t="s">
        <v>40</v>
      </c>
      <c r="I197" s="5" t="s">
        <v>75</v>
      </c>
      <c r="J197" s="5" t="n">
        <v>2</v>
      </c>
      <c r="K197" s="5"/>
      <c r="L197" s="6"/>
      <c r="M197" s="6"/>
      <c r="N197" s="6"/>
      <c r="O197" s="6"/>
      <c r="P197" s="5" t="str">
        <f aca="false">IF(M197="","",ROUND(M197*IFERROR(INDEX(Weights!$B$2:$B$4,MATCH(G197,Weights!$A$2:$A$4,0)),0)*IFERROR(INDEX(Weights!$B$7:$B$11,MATCH(E197,Weights!$A$7:$A$11,0)),0)*IFERROR(INDEX(Weights!$B$14:$B$17,MATCH(TEXT(J197,"0"),Weights!$A$14:$A$17,0)),0)/(1+N(N197)/50),1))</f>
        <v/>
      </c>
      <c r="Q197" s="5" t="s">
        <v>42</v>
      </c>
    </row>
    <row r="198" customFormat="false" ht="15" hidden="false" customHeight="false" outlineLevel="0" collapsed="false">
      <c r="A198" s="5" t="n">
        <v>197</v>
      </c>
      <c r="B198" s="5" t="s">
        <v>268</v>
      </c>
      <c r="C198" s="5" t="s">
        <v>74</v>
      </c>
      <c r="D198" s="5" t="s">
        <v>36</v>
      </c>
      <c r="E198" s="5" t="s">
        <v>37</v>
      </c>
      <c r="F198" s="5" t="s">
        <v>252</v>
      </c>
      <c r="G198" s="5" t="s">
        <v>39</v>
      </c>
      <c r="H198" s="5" t="s">
        <v>40</v>
      </c>
      <c r="I198" s="5" t="s">
        <v>75</v>
      </c>
      <c r="J198" s="5" t="n">
        <v>2</v>
      </c>
      <c r="K198" s="5"/>
      <c r="L198" s="6"/>
      <c r="M198" s="6"/>
      <c r="N198" s="6"/>
      <c r="O198" s="6"/>
      <c r="P198" s="5" t="str">
        <f aca="false">IF(M198="","",ROUND(M198*IFERROR(INDEX(Weights!$B$2:$B$4,MATCH(G198,Weights!$A$2:$A$4,0)),0)*IFERROR(INDEX(Weights!$B$7:$B$11,MATCH(E198,Weights!$A$7:$A$11,0)),0)*IFERROR(INDEX(Weights!$B$14:$B$17,MATCH(TEXT(J198,"0"),Weights!$A$14:$A$17,0)),0)/(1+N(N198)/50),1))</f>
        <v/>
      </c>
      <c r="Q198" s="5" t="s">
        <v>42</v>
      </c>
    </row>
    <row r="199" customFormat="false" ht="15" hidden="false" customHeight="false" outlineLevel="0" collapsed="false">
      <c r="A199" s="5" t="n">
        <v>198</v>
      </c>
      <c r="B199" s="5" t="s">
        <v>269</v>
      </c>
      <c r="C199" s="5" t="s">
        <v>78</v>
      </c>
      <c r="D199" s="5" t="s">
        <v>36</v>
      </c>
      <c r="E199" s="5" t="s">
        <v>37</v>
      </c>
      <c r="F199" s="5" t="s">
        <v>252</v>
      </c>
      <c r="G199" s="5" t="s">
        <v>39</v>
      </c>
      <c r="H199" s="5" t="s">
        <v>40</v>
      </c>
      <c r="I199" s="5" t="s">
        <v>79</v>
      </c>
      <c r="J199" s="5" t="n">
        <v>2</v>
      </c>
      <c r="K199" s="5"/>
      <c r="L199" s="6"/>
      <c r="M199" s="6"/>
      <c r="N199" s="6"/>
      <c r="O199" s="6"/>
      <c r="P199" s="5" t="str">
        <f aca="false">IF(M199="","",ROUND(M199*IFERROR(INDEX(Weights!$B$2:$B$4,MATCH(G199,Weights!$A$2:$A$4,0)),0)*IFERROR(INDEX(Weights!$B$7:$B$11,MATCH(E199,Weights!$A$7:$A$11,0)),0)*IFERROR(INDEX(Weights!$B$14:$B$17,MATCH(TEXT(J199,"0"),Weights!$A$14:$A$17,0)),0)/(1+N(N199)/50),1))</f>
        <v/>
      </c>
      <c r="Q199" s="5" t="s">
        <v>42</v>
      </c>
    </row>
    <row r="200" customFormat="false" ht="15" hidden="false" customHeight="false" outlineLevel="0" collapsed="false">
      <c r="A200" s="5" t="n">
        <v>199</v>
      </c>
      <c r="B200" s="5" t="s">
        <v>270</v>
      </c>
      <c r="C200" s="5" t="s">
        <v>35</v>
      </c>
      <c r="D200" s="5" t="s">
        <v>36</v>
      </c>
      <c r="E200" s="5" t="s">
        <v>37</v>
      </c>
      <c r="F200" s="5" t="s">
        <v>271</v>
      </c>
      <c r="G200" s="5" t="s">
        <v>39</v>
      </c>
      <c r="H200" s="5" t="s">
        <v>40</v>
      </c>
      <c r="I200" s="5" t="s">
        <v>41</v>
      </c>
      <c r="J200" s="5" t="n">
        <v>1</v>
      </c>
      <c r="K200" s="5"/>
      <c r="L200" s="6"/>
      <c r="M200" s="6"/>
      <c r="N200" s="6"/>
      <c r="O200" s="6"/>
      <c r="P200" s="5" t="str">
        <f aca="false">IF(M200="","",ROUND(M200*IFERROR(INDEX(Weights!$B$2:$B$4,MATCH(G200,Weights!$A$2:$A$4,0)),0)*IFERROR(INDEX(Weights!$B$7:$B$11,MATCH(E200,Weights!$A$7:$A$11,0)),0)*IFERROR(INDEX(Weights!$B$14:$B$17,MATCH(TEXT(J200,"0"),Weights!$A$14:$A$17,0)),0)/(1+N(N200)/50),1))</f>
        <v/>
      </c>
      <c r="Q200" s="5" t="s">
        <v>42</v>
      </c>
    </row>
    <row r="201" customFormat="false" ht="15" hidden="false" customHeight="false" outlineLevel="0" collapsed="false">
      <c r="A201" s="5" t="n">
        <v>200</v>
      </c>
      <c r="B201" s="5" t="s">
        <v>272</v>
      </c>
      <c r="C201" s="5" t="s">
        <v>35</v>
      </c>
      <c r="D201" s="5" t="s">
        <v>36</v>
      </c>
      <c r="E201" s="5" t="s">
        <v>37</v>
      </c>
      <c r="F201" s="5" t="s">
        <v>271</v>
      </c>
      <c r="G201" s="5" t="s">
        <v>39</v>
      </c>
      <c r="H201" s="5" t="s">
        <v>40</v>
      </c>
      <c r="I201" s="5" t="s">
        <v>44</v>
      </c>
      <c r="J201" s="5" t="n">
        <v>1</v>
      </c>
      <c r="K201" s="5"/>
      <c r="L201" s="6"/>
      <c r="M201" s="6"/>
      <c r="N201" s="6"/>
      <c r="O201" s="6"/>
      <c r="P201" s="5" t="str">
        <f aca="false">IF(M201="","",ROUND(M201*IFERROR(INDEX(Weights!$B$2:$B$4,MATCH(G201,Weights!$A$2:$A$4,0)),0)*IFERROR(INDEX(Weights!$B$7:$B$11,MATCH(E201,Weights!$A$7:$A$11,0)),0)*IFERROR(INDEX(Weights!$B$14:$B$17,MATCH(TEXT(J201,"0"),Weights!$A$14:$A$17,0)),0)/(1+N(N201)/50),1))</f>
        <v/>
      </c>
      <c r="Q201" s="5" t="s">
        <v>42</v>
      </c>
    </row>
    <row r="202" customFormat="false" ht="15" hidden="false" customHeight="false" outlineLevel="0" collapsed="false">
      <c r="A202" s="5" t="n">
        <v>201</v>
      </c>
      <c r="B202" s="5" t="s">
        <v>273</v>
      </c>
      <c r="C202" s="5" t="s">
        <v>35</v>
      </c>
      <c r="D202" s="5" t="s">
        <v>36</v>
      </c>
      <c r="E202" s="5" t="s">
        <v>37</v>
      </c>
      <c r="F202" s="5" t="s">
        <v>271</v>
      </c>
      <c r="G202" s="5" t="s">
        <v>39</v>
      </c>
      <c r="H202" s="5" t="s">
        <v>40</v>
      </c>
      <c r="I202" s="5" t="s">
        <v>44</v>
      </c>
      <c r="J202" s="5" t="n">
        <v>1</v>
      </c>
      <c r="K202" s="5"/>
      <c r="L202" s="6"/>
      <c r="M202" s="6"/>
      <c r="N202" s="6"/>
      <c r="O202" s="6"/>
      <c r="P202" s="5" t="str">
        <f aca="false">IF(M202="","",ROUND(M202*IFERROR(INDEX(Weights!$B$2:$B$4,MATCH(G202,Weights!$A$2:$A$4,0)),0)*IFERROR(INDEX(Weights!$B$7:$B$11,MATCH(E202,Weights!$A$7:$A$11,0)),0)*IFERROR(INDEX(Weights!$B$14:$B$17,MATCH(TEXT(J202,"0"),Weights!$A$14:$A$17,0)),0)/(1+N(N202)/50),1))</f>
        <v/>
      </c>
      <c r="Q202" s="5" t="s">
        <v>42</v>
      </c>
    </row>
    <row r="203" customFormat="false" ht="15" hidden="false" customHeight="false" outlineLevel="0" collapsed="false">
      <c r="A203" s="5" t="n">
        <v>202</v>
      </c>
      <c r="B203" s="5" t="s">
        <v>274</v>
      </c>
      <c r="C203" s="5" t="s">
        <v>47</v>
      </c>
      <c r="D203" s="5" t="s">
        <v>36</v>
      </c>
      <c r="E203" s="5" t="s">
        <v>37</v>
      </c>
      <c r="F203" s="5" t="s">
        <v>271</v>
      </c>
      <c r="G203" s="5" t="s">
        <v>39</v>
      </c>
      <c r="H203" s="5" t="s">
        <v>40</v>
      </c>
      <c r="I203" s="5" t="s">
        <v>48</v>
      </c>
      <c r="J203" s="5" t="n">
        <v>1</v>
      </c>
      <c r="K203" s="5"/>
      <c r="L203" s="6"/>
      <c r="M203" s="6"/>
      <c r="N203" s="6"/>
      <c r="O203" s="6"/>
      <c r="P203" s="5" t="str">
        <f aca="false">IF(M203="","",ROUND(M203*IFERROR(INDEX(Weights!$B$2:$B$4,MATCH(G203,Weights!$A$2:$A$4,0)),0)*IFERROR(INDEX(Weights!$B$7:$B$11,MATCH(E203,Weights!$A$7:$A$11,0)),0)*IFERROR(INDEX(Weights!$B$14:$B$17,MATCH(TEXT(J203,"0"),Weights!$A$14:$A$17,0)),0)/(1+N(N203)/50),1))</f>
        <v/>
      </c>
      <c r="Q203" s="5" t="s">
        <v>42</v>
      </c>
    </row>
    <row r="204" customFormat="false" ht="15" hidden="false" customHeight="false" outlineLevel="0" collapsed="false">
      <c r="A204" s="5" t="n">
        <v>203</v>
      </c>
      <c r="B204" s="5" t="s">
        <v>275</v>
      </c>
      <c r="C204" s="5" t="s">
        <v>47</v>
      </c>
      <c r="D204" s="5" t="s">
        <v>36</v>
      </c>
      <c r="E204" s="5" t="s">
        <v>37</v>
      </c>
      <c r="F204" s="5" t="s">
        <v>271</v>
      </c>
      <c r="G204" s="5" t="s">
        <v>39</v>
      </c>
      <c r="H204" s="5" t="s">
        <v>40</v>
      </c>
      <c r="I204" s="5" t="s">
        <v>48</v>
      </c>
      <c r="J204" s="5" t="n">
        <v>1</v>
      </c>
      <c r="K204" s="5"/>
      <c r="L204" s="6"/>
      <c r="M204" s="6"/>
      <c r="N204" s="6"/>
      <c r="O204" s="6"/>
      <c r="P204" s="5" t="str">
        <f aca="false">IF(M204="","",ROUND(M204*IFERROR(INDEX(Weights!$B$2:$B$4,MATCH(G204,Weights!$A$2:$A$4,0)),0)*IFERROR(INDEX(Weights!$B$7:$B$11,MATCH(E204,Weights!$A$7:$A$11,0)),0)*IFERROR(INDEX(Weights!$B$14:$B$17,MATCH(TEXT(J204,"0"),Weights!$A$14:$A$17,0)),0)/(1+N(N204)/50),1))</f>
        <v/>
      </c>
      <c r="Q204" s="5" t="s">
        <v>42</v>
      </c>
    </row>
    <row r="205" customFormat="false" ht="15" hidden="false" customHeight="false" outlineLevel="0" collapsed="false">
      <c r="A205" s="5" t="n">
        <v>204</v>
      </c>
      <c r="B205" s="5" t="s">
        <v>276</v>
      </c>
      <c r="C205" s="5" t="s">
        <v>51</v>
      </c>
      <c r="D205" s="5" t="s">
        <v>36</v>
      </c>
      <c r="E205" s="5" t="s">
        <v>37</v>
      </c>
      <c r="F205" s="5" t="s">
        <v>271</v>
      </c>
      <c r="G205" s="5" t="s">
        <v>39</v>
      </c>
      <c r="H205" s="5" t="s">
        <v>40</v>
      </c>
      <c r="I205" s="5" t="s">
        <v>52</v>
      </c>
      <c r="J205" s="5" t="n">
        <v>1</v>
      </c>
      <c r="K205" s="5"/>
      <c r="L205" s="6"/>
      <c r="M205" s="6"/>
      <c r="N205" s="6"/>
      <c r="O205" s="6"/>
      <c r="P205" s="5" t="str">
        <f aca="false">IF(M205="","",ROUND(M205*IFERROR(INDEX(Weights!$B$2:$B$4,MATCH(G205,Weights!$A$2:$A$4,0)),0)*IFERROR(INDEX(Weights!$B$7:$B$11,MATCH(E205,Weights!$A$7:$A$11,0)),0)*IFERROR(INDEX(Weights!$B$14:$B$17,MATCH(TEXT(J205,"0"),Weights!$A$14:$A$17,0)),0)/(1+N(N205)/50),1))</f>
        <v/>
      </c>
      <c r="Q205" s="5" t="s">
        <v>42</v>
      </c>
    </row>
    <row r="206" customFormat="false" ht="15" hidden="false" customHeight="false" outlineLevel="0" collapsed="false">
      <c r="A206" s="5" t="n">
        <v>205</v>
      </c>
      <c r="B206" s="5" t="s">
        <v>277</v>
      </c>
      <c r="C206" s="5" t="s">
        <v>54</v>
      </c>
      <c r="D206" s="5" t="s">
        <v>36</v>
      </c>
      <c r="E206" s="5" t="s">
        <v>37</v>
      </c>
      <c r="F206" s="5" t="s">
        <v>271</v>
      </c>
      <c r="G206" s="5" t="s">
        <v>39</v>
      </c>
      <c r="H206" s="5" t="s">
        <v>40</v>
      </c>
      <c r="I206" s="5" t="s">
        <v>55</v>
      </c>
      <c r="J206" s="5" t="n">
        <v>1</v>
      </c>
      <c r="K206" s="5"/>
      <c r="L206" s="6"/>
      <c r="M206" s="6"/>
      <c r="N206" s="6"/>
      <c r="O206" s="6"/>
      <c r="P206" s="5" t="str">
        <f aca="false">IF(M206="","",ROUND(M206*IFERROR(INDEX(Weights!$B$2:$B$4,MATCH(G206,Weights!$A$2:$A$4,0)),0)*IFERROR(INDEX(Weights!$B$7:$B$11,MATCH(E206,Weights!$A$7:$A$11,0)),0)*IFERROR(INDEX(Weights!$B$14:$B$17,MATCH(TEXT(J206,"0"),Weights!$A$14:$A$17,0)),0)/(1+N(N206)/50),1))</f>
        <v/>
      </c>
      <c r="Q206" s="5" t="s">
        <v>42</v>
      </c>
    </row>
    <row r="207" customFormat="false" ht="15" hidden="false" customHeight="false" outlineLevel="0" collapsed="false">
      <c r="A207" s="5" t="n">
        <v>206</v>
      </c>
      <c r="B207" s="5" t="s">
        <v>278</v>
      </c>
      <c r="C207" s="5" t="s">
        <v>57</v>
      </c>
      <c r="D207" s="5" t="s">
        <v>36</v>
      </c>
      <c r="E207" s="5" t="s">
        <v>37</v>
      </c>
      <c r="F207" s="5" t="s">
        <v>271</v>
      </c>
      <c r="G207" s="5" t="s">
        <v>39</v>
      </c>
      <c r="H207" s="5" t="s">
        <v>40</v>
      </c>
      <c r="I207" s="5" t="s">
        <v>58</v>
      </c>
      <c r="J207" s="5" t="n">
        <v>1</v>
      </c>
      <c r="K207" s="5"/>
      <c r="L207" s="6"/>
      <c r="M207" s="6"/>
      <c r="N207" s="6"/>
      <c r="O207" s="6"/>
      <c r="P207" s="5" t="str">
        <f aca="false">IF(M207="","",ROUND(M207*IFERROR(INDEX(Weights!$B$2:$B$4,MATCH(G207,Weights!$A$2:$A$4,0)),0)*IFERROR(INDEX(Weights!$B$7:$B$11,MATCH(E207,Weights!$A$7:$A$11,0)),0)*IFERROR(INDEX(Weights!$B$14:$B$17,MATCH(TEXT(J207,"0"),Weights!$A$14:$A$17,0)),0)/(1+N(N207)/50),1))</f>
        <v/>
      </c>
      <c r="Q207" s="5" t="s">
        <v>42</v>
      </c>
    </row>
    <row r="208" customFormat="false" ht="15" hidden="false" customHeight="false" outlineLevel="0" collapsed="false">
      <c r="A208" s="5" t="n">
        <v>207</v>
      </c>
      <c r="B208" s="5" t="s">
        <v>279</v>
      </c>
      <c r="C208" s="5" t="s">
        <v>57</v>
      </c>
      <c r="D208" s="5" t="s">
        <v>36</v>
      </c>
      <c r="E208" s="5" t="s">
        <v>37</v>
      </c>
      <c r="F208" s="5" t="s">
        <v>271</v>
      </c>
      <c r="G208" s="5" t="s">
        <v>39</v>
      </c>
      <c r="H208" s="5" t="s">
        <v>40</v>
      </c>
      <c r="I208" s="5" t="s">
        <v>58</v>
      </c>
      <c r="J208" s="5" t="n">
        <v>1</v>
      </c>
      <c r="K208" s="5"/>
      <c r="L208" s="6"/>
      <c r="M208" s="6"/>
      <c r="N208" s="6"/>
      <c r="O208" s="6"/>
      <c r="P208" s="5" t="str">
        <f aca="false">IF(M208="","",ROUND(M208*IFERROR(INDEX(Weights!$B$2:$B$4,MATCH(G208,Weights!$A$2:$A$4,0)),0)*IFERROR(INDEX(Weights!$B$7:$B$11,MATCH(E208,Weights!$A$7:$A$11,0)),0)*IFERROR(INDEX(Weights!$B$14:$B$17,MATCH(TEXT(J208,"0"),Weights!$A$14:$A$17,0)),0)/(1+N(N208)/50),1))</f>
        <v/>
      </c>
      <c r="Q208" s="5" t="s">
        <v>42</v>
      </c>
    </row>
    <row r="209" customFormat="false" ht="15" hidden="false" customHeight="false" outlineLevel="0" collapsed="false">
      <c r="A209" s="5" t="n">
        <v>208</v>
      </c>
      <c r="B209" s="5" t="s">
        <v>280</v>
      </c>
      <c r="C209" s="5" t="s">
        <v>61</v>
      </c>
      <c r="D209" s="5" t="s">
        <v>36</v>
      </c>
      <c r="E209" s="5" t="s">
        <v>37</v>
      </c>
      <c r="F209" s="5" t="s">
        <v>271</v>
      </c>
      <c r="G209" s="5" t="s">
        <v>39</v>
      </c>
      <c r="H209" s="5" t="s">
        <v>40</v>
      </c>
      <c r="I209" s="5" t="s">
        <v>62</v>
      </c>
      <c r="J209" s="5" t="n">
        <v>2</v>
      </c>
      <c r="K209" s="5"/>
      <c r="L209" s="6"/>
      <c r="M209" s="6"/>
      <c r="N209" s="6"/>
      <c r="O209" s="6"/>
      <c r="P209" s="5" t="str">
        <f aca="false">IF(M209="","",ROUND(M209*IFERROR(INDEX(Weights!$B$2:$B$4,MATCH(G209,Weights!$A$2:$A$4,0)),0)*IFERROR(INDEX(Weights!$B$7:$B$11,MATCH(E209,Weights!$A$7:$A$11,0)),0)*IFERROR(INDEX(Weights!$B$14:$B$17,MATCH(TEXT(J209,"0"),Weights!$A$14:$A$17,0)),0)/(1+N(N209)/50),1))</f>
        <v/>
      </c>
      <c r="Q209" s="5" t="s">
        <v>42</v>
      </c>
    </row>
    <row r="210" customFormat="false" ht="15" hidden="false" customHeight="false" outlineLevel="0" collapsed="false">
      <c r="A210" s="5" t="n">
        <v>209</v>
      </c>
      <c r="B210" s="5" t="s">
        <v>281</v>
      </c>
      <c r="C210" s="5" t="s">
        <v>64</v>
      </c>
      <c r="D210" s="5" t="s">
        <v>36</v>
      </c>
      <c r="E210" s="5" t="s">
        <v>37</v>
      </c>
      <c r="F210" s="5" t="s">
        <v>271</v>
      </c>
      <c r="G210" s="5" t="s">
        <v>39</v>
      </c>
      <c r="H210" s="5" t="s">
        <v>40</v>
      </c>
      <c r="I210" s="5" t="s">
        <v>64</v>
      </c>
      <c r="J210" s="5" t="n">
        <v>2</v>
      </c>
      <c r="K210" s="5"/>
      <c r="L210" s="6"/>
      <c r="M210" s="6"/>
      <c r="N210" s="6"/>
      <c r="O210" s="6"/>
      <c r="P210" s="5" t="str">
        <f aca="false">IF(M210="","",ROUND(M210*IFERROR(INDEX(Weights!$B$2:$B$4,MATCH(G210,Weights!$A$2:$A$4,0)),0)*IFERROR(INDEX(Weights!$B$7:$B$11,MATCH(E210,Weights!$A$7:$A$11,0)),0)*IFERROR(INDEX(Weights!$B$14:$B$17,MATCH(TEXT(J210,"0"),Weights!$A$14:$A$17,0)),0)/(1+N(N210)/50),1))</f>
        <v/>
      </c>
      <c r="Q210" s="5" t="s">
        <v>42</v>
      </c>
    </row>
    <row r="211" customFormat="false" ht="15" hidden="false" customHeight="false" outlineLevel="0" collapsed="false">
      <c r="A211" s="5" t="n">
        <v>210</v>
      </c>
      <c r="B211" s="5" t="s">
        <v>282</v>
      </c>
      <c r="C211" s="5" t="s">
        <v>66</v>
      </c>
      <c r="D211" s="5" t="s">
        <v>36</v>
      </c>
      <c r="E211" s="5" t="s">
        <v>37</v>
      </c>
      <c r="F211" s="5" t="s">
        <v>271</v>
      </c>
      <c r="G211" s="5" t="s">
        <v>39</v>
      </c>
      <c r="H211" s="5" t="s">
        <v>40</v>
      </c>
      <c r="I211" s="5" t="s">
        <v>67</v>
      </c>
      <c r="J211" s="5" t="n">
        <v>3</v>
      </c>
      <c r="K211" s="5"/>
      <c r="L211" s="6"/>
      <c r="M211" s="6"/>
      <c r="N211" s="6"/>
      <c r="O211" s="6"/>
      <c r="P211" s="5" t="str">
        <f aca="false">IF(M211="","",ROUND(M211*IFERROR(INDEX(Weights!$B$2:$B$4,MATCH(G211,Weights!$A$2:$A$4,0)),0)*IFERROR(INDEX(Weights!$B$7:$B$11,MATCH(E211,Weights!$A$7:$A$11,0)),0)*IFERROR(INDEX(Weights!$B$14:$B$17,MATCH(TEXT(J211,"0"),Weights!$A$14:$A$17,0)),0)/(1+N(N211)/50),1))</f>
        <v/>
      </c>
      <c r="Q211" s="5" t="s">
        <v>42</v>
      </c>
    </row>
    <row r="212" customFormat="false" ht="15" hidden="false" customHeight="false" outlineLevel="0" collapsed="false">
      <c r="A212" s="5" t="n">
        <v>211</v>
      </c>
      <c r="B212" s="5" t="s">
        <v>283</v>
      </c>
      <c r="C212" s="5" t="s">
        <v>69</v>
      </c>
      <c r="D212" s="5" t="s">
        <v>36</v>
      </c>
      <c r="E212" s="5" t="s">
        <v>37</v>
      </c>
      <c r="F212" s="5" t="s">
        <v>271</v>
      </c>
      <c r="G212" s="5" t="s">
        <v>39</v>
      </c>
      <c r="H212" s="5" t="s">
        <v>40</v>
      </c>
      <c r="I212" s="5" t="s">
        <v>70</v>
      </c>
      <c r="J212" s="5" t="n">
        <v>3</v>
      </c>
      <c r="K212" s="5"/>
      <c r="L212" s="6"/>
      <c r="M212" s="6"/>
      <c r="N212" s="6"/>
      <c r="O212" s="6"/>
      <c r="P212" s="5" t="str">
        <f aca="false">IF(M212="","",ROUND(M212*IFERROR(INDEX(Weights!$B$2:$B$4,MATCH(G212,Weights!$A$2:$A$4,0)),0)*IFERROR(INDEX(Weights!$B$7:$B$11,MATCH(E212,Weights!$A$7:$A$11,0)),0)*IFERROR(INDEX(Weights!$B$14:$B$17,MATCH(TEXT(J212,"0"),Weights!$A$14:$A$17,0)),0)/(1+N(N212)/50),1))</f>
        <v/>
      </c>
      <c r="Q212" s="5" t="s">
        <v>42</v>
      </c>
    </row>
    <row r="213" customFormat="false" ht="15" hidden="false" customHeight="false" outlineLevel="0" collapsed="false">
      <c r="A213" s="5" t="n">
        <v>212</v>
      </c>
      <c r="B213" s="5" t="s">
        <v>284</v>
      </c>
      <c r="C213" s="5" t="s">
        <v>69</v>
      </c>
      <c r="D213" s="5" t="s">
        <v>36</v>
      </c>
      <c r="E213" s="5" t="s">
        <v>37</v>
      </c>
      <c r="F213" s="5" t="s">
        <v>271</v>
      </c>
      <c r="G213" s="5" t="s">
        <v>39</v>
      </c>
      <c r="H213" s="5" t="s">
        <v>40</v>
      </c>
      <c r="I213" s="5" t="s">
        <v>70</v>
      </c>
      <c r="J213" s="5" t="n">
        <v>3</v>
      </c>
      <c r="K213" s="5"/>
      <c r="L213" s="6"/>
      <c r="M213" s="6"/>
      <c r="N213" s="6"/>
      <c r="O213" s="6"/>
      <c r="P213" s="5" t="str">
        <f aca="false">IF(M213="","",ROUND(M213*IFERROR(INDEX(Weights!$B$2:$B$4,MATCH(G213,Weights!$A$2:$A$4,0)),0)*IFERROR(INDEX(Weights!$B$7:$B$11,MATCH(E213,Weights!$A$7:$A$11,0)),0)*IFERROR(INDEX(Weights!$B$14:$B$17,MATCH(TEXT(J213,"0"),Weights!$A$14:$A$17,0)),0)/(1+N(N213)/50),1))</f>
        <v/>
      </c>
      <c r="Q213" s="5" t="s">
        <v>42</v>
      </c>
    </row>
    <row r="214" customFormat="false" ht="15" hidden="false" customHeight="false" outlineLevel="0" collapsed="false">
      <c r="A214" s="5" t="n">
        <v>213</v>
      </c>
      <c r="B214" s="5" t="s">
        <v>285</v>
      </c>
      <c r="C214" s="5" t="s">
        <v>64</v>
      </c>
      <c r="D214" s="5" t="s">
        <v>36</v>
      </c>
      <c r="E214" s="5" t="s">
        <v>37</v>
      </c>
      <c r="F214" s="5" t="s">
        <v>271</v>
      </c>
      <c r="G214" s="5" t="s">
        <v>39</v>
      </c>
      <c r="H214" s="5" t="s">
        <v>40</v>
      </c>
      <c r="I214" s="5" t="s">
        <v>64</v>
      </c>
      <c r="J214" s="5" t="n">
        <v>2</v>
      </c>
      <c r="K214" s="5"/>
      <c r="L214" s="6"/>
      <c r="M214" s="6"/>
      <c r="N214" s="6"/>
      <c r="O214" s="6"/>
      <c r="P214" s="5" t="str">
        <f aca="false">IF(M214="","",ROUND(M214*IFERROR(INDEX(Weights!$B$2:$B$4,MATCH(G214,Weights!$A$2:$A$4,0)),0)*IFERROR(INDEX(Weights!$B$7:$B$11,MATCH(E214,Weights!$A$7:$A$11,0)),0)*IFERROR(INDEX(Weights!$B$14:$B$17,MATCH(TEXT(J214,"0"),Weights!$A$14:$A$17,0)),0)/(1+N(N214)/50),1))</f>
        <v/>
      </c>
      <c r="Q214" s="5" t="s">
        <v>42</v>
      </c>
    </row>
    <row r="215" customFormat="false" ht="15" hidden="false" customHeight="false" outlineLevel="0" collapsed="false">
      <c r="A215" s="5" t="n">
        <v>214</v>
      </c>
      <c r="B215" s="5" t="s">
        <v>286</v>
      </c>
      <c r="C215" s="5" t="s">
        <v>74</v>
      </c>
      <c r="D215" s="5" t="s">
        <v>36</v>
      </c>
      <c r="E215" s="5" t="s">
        <v>37</v>
      </c>
      <c r="F215" s="5" t="s">
        <v>271</v>
      </c>
      <c r="G215" s="5" t="s">
        <v>39</v>
      </c>
      <c r="H215" s="5" t="s">
        <v>40</v>
      </c>
      <c r="I215" s="5" t="s">
        <v>75</v>
      </c>
      <c r="J215" s="5" t="n">
        <v>2</v>
      </c>
      <c r="K215" s="5"/>
      <c r="L215" s="6"/>
      <c r="M215" s="6"/>
      <c r="N215" s="6"/>
      <c r="O215" s="6"/>
      <c r="P215" s="5" t="str">
        <f aca="false">IF(M215="","",ROUND(M215*IFERROR(INDEX(Weights!$B$2:$B$4,MATCH(G215,Weights!$A$2:$A$4,0)),0)*IFERROR(INDEX(Weights!$B$7:$B$11,MATCH(E215,Weights!$A$7:$A$11,0)),0)*IFERROR(INDEX(Weights!$B$14:$B$17,MATCH(TEXT(J215,"0"),Weights!$A$14:$A$17,0)),0)/(1+N(N215)/50),1))</f>
        <v/>
      </c>
      <c r="Q215" s="5" t="s">
        <v>42</v>
      </c>
    </row>
    <row r="216" customFormat="false" ht="15" hidden="false" customHeight="false" outlineLevel="0" collapsed="false">
      <c r="A216" s="5" t="n">
        <v>215</v>
      </c>
      <c r="B216" s="5" t="s">
        <v>287</v>
      </c>
      <c r="C216" s="5" t="s">
        <v>74</v>
      </c>
      <c r="D216" s="5" t="s">
        <v>36</v>
      </c>
      <c r="E216" s="5" t="s">
        <v>37</v>
      </c>
      <c r="F216" s="5" t="s">
        <v>271</v>
      </c>
      <c r="G216" s="5" t="s">
        <v>39</v>
      </c>
      <c r="H216" s="5" t="s">
        <v>40</v>
      </c>
      <c r="I216" s="5" t="s">
        <v>75</v>
      </c>
      <c r="J216" s="5" t="n">
        <v>2</v>
      </c>
      <c r="K216" s="5"/>
      <c r="L216" s="6"/>
      <c r="M216" s="6"/>
      <c r="N216" s="6"/>
      <c r="O216" s="6"/>
      <c r="P216" s="5" t="str">
        <f aca="false">IF(M216="","",ROUND(M216*IFERROR(INDEX(Weights!$B$2:$B$4,MATCH(G216,Weights!$A$2:$A$4,0)),0)*IFERROR(INDEX(Weights!$B$7:$B$11,MATCH(E216,Weights!$A$7:$A$11,0)),0)*IFERROR(INDEX(Weights!$B$14:$B$17,MATCH(TEXT(J216,"0"),Weights!$A$14:$A$17,0)),0)/(1+N(N216)/50),1))</f>
        <v/>
      </c>
      <c r="Q216" s="5" t="s">
        <v>42</v>
      </c>
    </row>
    <row r="217" customFormat="false" ht="15" hidden="false" customHeight="false" outlineLevel="0" collapsed="false">
      <c r="A217" s="5" t="n">
        <v>216</v>
      </c>
      <c r="B217" s="5" t="s">
        <v>288</v>
      </c>
      <c r="C217" s="5" t="s">
        <v>78</v>
      </c>
      <c r="D217" s="5" t="s">
        <v>36</v>
      </c>
      <c r="E217" s="5" t="s">
        <v>37</v>
      </c>
      <c r="F217" s="5" t="s">
        <v>271</v>
      </c>
      <c r="G217" s="5" t="s">
        <v>39</v>
      </c>
      <c r="H217" s="5" t="s">
        <v>40</v>
      </c>
      <c r="I217" s="5" t="s">
        <v>79</v>
      </c>
      <c r="J217" s="5" t="n">
        <v>2</v>
      </c>
      <c r="K217" s="5"/>
      <c r="L217" s="6"/>
      <c r="M217" s="6"/>
      <c r="N217" s="6"/>
      <c r="O217" s="6"/>
      <c r="P217" s="5" t="str">
        <f aca="false">IF(M217="","",ROUND(M217*IFERROR(INDEX(Weights!$B$2:$B$4,MATCH(G217,Weights!$A$2:$A$4,0)),0)*IFERROR(INDEX(Weights!$B$7:$B$11,MATCH(E217,Weights!$A$7:$A$11,0)),0)*IFERROR(INDEX(Weights!$B$14:$B$17,MATCH(TEXT(J217,"0"),Weights!$A$14:$A$17,0)),0)/(1+N(N217)/50),1))</f>
        <v/>
      </c>
      <c r="Q217" s="5" t="s">
        <v>42</v>
      </c>
    </row>
    <row r="218" customFormat="false" ht="15" hidden="false" customHeight="false" outlineLevel="0" collapsed="false">
      <c r="A218" s="5" t="n">
        <v>217</v>
      </c>
      <c r="B218" s="5" t="s">
        <v>289</v>
      </c>
      <c r="C218" s="5" t="s">
        <v>35</v>
      </c>
      <c r="D218" s="5" t="s">
        <v>36</v>
      </c>
      <c r="E218" s="5" t="s">
        <v>37</v>
      </c>
      <c r="F218" s="5" t="s">
        <v>290</v>
      </c>
      <c r="G218" s="5" t="s">
        <v>39</v>
      </c>
      <c r="H218" s="5" t="s">
        <v>40</v>
      </c>
      <c r="I218" s="5" t="s">
        <v>41</v>
      </c>
      <c r="J218" s="5" t="n">
        <v>1</v>
      </c>
      <c r="K218" s="5"/>
      <c r="L218" s="6"/>
      <c r="M218" s="6"/>
      <c r="N218" s="6"/>
      <c r="O218" s="6"/>
      <c r="P218" s="5" t="str">
        <f aca="false">IF(M218="","",ROUND(M218*IFERROR(INDEX(Weights!$B$2:$B$4,MATCH(G218,Weights!$A$2:$A$4,0)),0)*IFERROR(INDEX(Weights!$B$7:$B$11,MATCH(E218,Weights!$A$7:$A$11,0)),0)*IFERROR(INDEX(Weights!$B$14:$B$17,MATCH(TEXT(J218,"0"),Weights!$A$14:$A$17,0)),0)/(1+N(N218)/50),1))</f>
        <v/>
      </c>
      <c r="Q218" s="5" t="s">
        <v>42</v>
      </c>
    </row>
    <row r="219" customFormat="false" ht="15" hidden="false" customHeight="false" outlineLevel="0" collapsed="false">
      <c r="A219" s="5" t="n">
        <v>218</v>
      </c>
      <c r="B219" s="5" t="s">
        <v>291</v>
      </c>
      <c r="C219" s="5" t="s">
        <v>35</v>
      </c>
      <c r="D219" s="5" t="s">
        <v>36</v>
      </c>
      <c r="E219" s="5" t="s">
        <v>37</v>
      </c>
      <c r="F219" s="5" t="s">
        <v>290</v>
      </c>
      <c r="G219" s="5" t="s">
        <v>39</v>
      </c>
      <c r="H219" s="5" t="s">
        <v>40</v>
      </c>
      <c r="I219" s="5" t="s">
        <v>44</v>
      </c>
      <c r="J219" s="5" t="n">
        <v>1</v>
      </c>
      <c r="K219" s="5"/>
      <c r="L219" s="6"/>
      <c r="M219" s="6"/>
      <c r="N219" s="6"/>
      <c r="O219" s="6"/>
      <c r="P219" s="5" t="str">
        <f aca="false">IF(M219="","",ROUND(M219*IFERROR(INDEX(Weights!$B$2:$B$4,MATCH(G219,Weights!$A$2:$A$4,0)),0)*IFERROR(INDEX(Weights!$B$7:$B$11,MATCH(E219,Weights!$A$7:$A$11,0)),0)*IFERROR(INDEX(Weights!$B$14:$B$17,MATCH(TEXT(J219,"0"),Weights!$A$14:$A$17,0)),0)/(1+N(N219)/50),1))</f>
        <v/>
      </c>
      <c r="Q219" s="5" t="s">
        <v>42</v>
      </c>
    </row>
    <row r="220" customFormat="false" ht="15" hidden="false" customHeight="false" outlineLevel="0" collapsed="false">
      <c r="A220" s="5" t="n">
        <v>219</v>
      </c>
      <c r="B220" s="5" t="s">
        <v>292</v>
      </c>
      <c r="C220" s="5" t="s">
        <v>35</v>
      </c>
      <c r="D220" s="5" t="s">
        <v>36</v>
      </c>
      <c r="E220" s="5" t="s">
        <v>37</v>
      </c>
      <c r="F220" s="5" t="s">
        <v>290</v>
      </c>
      <c r="G220" s="5" t="s">
        <v>39</v>
      </c>
      <c r="H220" s="5" t="s">
        <v>40</v>
      </c>
      <c r="I220" s="5" t="s">
        <v>44</v>
      </c>
      <c r="J220" s="5" t="n">
        <v>1</v>
      </c>
      <c r="K220" s="5"/>
      <c r="L220" s="6"/>
      <c r="M220" s="6"/>
      <c r="N220" s="6"/>
      <c r="O220" s="6"/>
      <c r="P220" s="5" t="str">
        <f aca="false">IF(M220="","",ROUND(M220*IFERROR(INDEX(Weights!$B$2:$B$4,MATCH(G220,Weights!$A$2:$A$4,0)),0)*IFERROR(INDEX(Weights!$B$7:$B$11,MATCH(E220,Weights!$A$7:$A$11,0)),0)*IFERROR(INDEX(Weights!$B$14:$B$17,MATCH(TEXT(J220,"0"),Weights!$A$14:$A$17,0)),0)/(1+N(N220)/50),1))</f>
        <v/>
      </c>
      <c r="Q220" s="5" t="s">
        <v>42</v>
      </c>
    </row>
    <row r="221" customFormat="false" ht="15" hidden="false" customHeight="false" outlineLevel="0" collapsed="false">
      <c r="A221" s="5" t="n">
        <v>220</v>
      </c>
      <c r="B221" s="5" t="s">
        <v>293</v>
      </c>
      <c r="C221" s="5" t="s">
        <v>47</v>
      </c>
      <c r="D221" s="5" t="s">
        <v>36</v>
      </c>
      <c r="E221" s="5" t="s">
        <v>37</v>
      </c>
      <c r="F221" s="5" t="s">
        <v>290</v>
      </c>
      <c r="G221" s="5" t="s">
        <v>39</v>
      </c>
      <c r="H221" s="5" t="s">
        <v>40</v>
      </c>
      <c r="I221" s="5" t="s">
        <v>48</v>
      </c>
      <c r="J221" s="5" t="n">
        <v>1</v>
      </c>
      <c r="K221" s="5"/>
      <c r="L221" s="6"/>
      <c r="M221" s="6"/>
      <c r="N221" s="6"/>
      <c r="O221" s="6"/>
      <c r="P221" s="5" t="str">
        <f aca="false">IF(M221="","",ROUND(M221*IFERROR(INDEX(Weights!$B$2:$B$4,MATCH(G221,Weights!$A$2:$A$4,0)),0)*IFERROR(INDEX(Weights!$B$7:$B$11,MATCH(E221,Weights!$A$7:$A$11,0)),0)*IFERROR(INDEX(Weights!$B$14:$B$17,MATCH(TEXT(J221,"0"),Weights!$A$14:$A$17,0)),0)/(1+N(N221)/50),1))</f>
        <v/>
      </c>
      <c r="Q221" s="5" t="s">
        <v>42</v>
      </c>
    </row>
    <row r="222" customFormat="false" ht="15" hidden="false" customHeight="false" outlineLevel="0" collapsed="false">
      <c r="A222" s="5" t="n">
        <v>221</v>
      </c>
      <c r="B222" s="5" t="s">
        <v>294</v>
      </c>
      <c r="C222" s="5" t="s">
        <v>47</v>
      </c>
      <c r="D222" s="5" t="s">
        <v>36</v>
      </c>
      <c r="E222" s="5" t="s">
        <v>37</v>
      </c>
      <c r="F222" s="5" t="s">
        <v>290</v>
      </c>
      <c r="G222" s="5" t="s">
        <v>39</v>
      </c>
      <c r="H222" s="5" t="s">
        <v>40</v>
      </c>
      <c r="I222" s="5" t="s">
        <v>48</v>
      </c>
      <c r="J222" s="5" t="n">
        <v>1</v>
      </c>
      <c r="K222" s="5"/>
      <c r="L222" s="6"/>
      <c r="M222" s="6"/>
      <c r="N222" s="6"/>
      <c r="O222" s="6"/>
      <c r="P222" s="5" t="str">
        <f aca="false">IF(M222="","",ROUND(M222*IFERROR(INDEX(Weights!$B$2:$B$4,MATCH(G222,Weights!$A$2:$A$4,0)),0)*IFERROR(INDEX(Weights!$B$7:$B$11,MATCH(E222,Weights!$A$7:$A$11,0)),0)*IFERROR(INDEX(Weights!$B$14:$B$17,MATCH(TEXT(J222,"0"),Weights!$A$14:$A$17,0)),0)/(1+N(N222)/50),1))</f>
        <v/>
      </c>
      <c r="Q222" s="5" t="s">
        <v>42</v>
      </c>
    </row>
    <row r="223" customFormat="false" ht="15" hidden="false" customHeight="false" outlineLevel="0" collapsed="false">
      <c r="A223" s="5" t="n">
        <v>222</v>
      </c>
      <c r="B223" s="5" t="s">
        <v>295</v>
      </c>
      <c r="C223" s="5" t="s">
        <v>51</v>
      </c>
      <c r="D223" s="5" t="s">
        <v>36</v>
      </c>
      <c r="E223" s="5" t="s">
        <v>37</v>
      </c>
      <c r="F223" s="5" t="s">
        <v>290</v>
      </c>
      <c r="G223" s="5" t="s">
        <v>39</v>
      </c>
      <c r="H223" s="5" t="s">
        <v>40</v>
      </c>
      <c r="I223" s="5" t="s">
        <v>52</v>
      </c>
      <c r="J223" s="5" t="n">
        <v>1</v>
      </c>
      <c r="K223" s="5"/>
      <c r="L223" s="6"/>
      <c r="M223" s="6"/>
      <c r="N223" s="6"/>
      <c r="O223" s="6"/>
      <c r="P223" s="5" t="str">
        <f aca="false">IF(M223="","",ROUND(M223*IFERROR(INDEX(Weights!$B$2:$B$4,MATCH(G223,Weights!$A$2:$A$4,0)),0)*IFERROR(INDEX(Weights!$B$7:$B$11,MATCH(E223,Weights!$A$7:$A$11,0)),0)*IFERROR(INDEX(Weights!$B$14:$B$17,MATCH(TEXT(J223,"0"),Weights!$A$14:$A$17,0)),0)/(1+N(N223)/50),1))</f>
        <v/>
      </c>
      <c r="Q223" s="5" t="s">
        <v>42</v>
      </c>
    </row>
    <row r="224" customFormat="false" ht="15" hidden="false" customHeight="false" outlineLevel="0" collapsed="false">
      <c r="A224" s="5" t="n">
        <v>223</v>
      </c>
      <c r="B224" s="5" t="s">
        <v>296</v>
      </c>
      <c r="C224" s="5" t="s">
        <v>54</v>
      </c>
      <c r="D224" s="5" t="s">
        <v>36</v>
      </c>
      <c r="E224" s="5" t="s">
        <v>37</v>
      </c>
      <c r="F224" s="5" t="s">
        <v>290</v>
      </c>
      <c r="G224" s="5" t="s">
        <v>39</v>
      </c>
      <c r="H224" s="5" t="s">
        <v>40</v>
      </c>
      <c r="I224" s="5" t="s">
        <v>55</v>
      </c>
      <c r="J224" s="5" t="n">
        <v>1</v>
      </c>
      <c r="K224" s="5"/>
      <c r="L224" s="6"/>
      <c r="M224" s="6"/>
      <c r="N224" s="6"/>
      <c r="O224" s="6"/>
      <c r="P224" s="5" t="str">
        <f aca="false">IF(M224="","",ROUND(M224*IFERROR(INDEX(Weights!$B$2:$B$4,MATCH(G224,Weights!$A$2:$A$4,0)),0)*IFERROR(INDEX(Weights!$B$7:$B$11,MATCH(E224,Weights!$A$7:$A$11,0)),0)*IFERROR(INDEX(Weights!$B$14:$B$17,MATCH(TEXT(J224,"0"),Weights!$A$14:$A$17,0)),0)/(1+N(N224)/50),1))</f>
        <v/>
      </c>
      <c r="Q224" s="5" t="s">
        <v>42</v>
      </c>
    </row>
    <row r="225" customFormat="false" ht="15" hidden="false" customHeight="false" outlineLevel="0" collapsed="false">
      <c r="A225" s="5" t="n">
        <v>224</v>
      </c>
      <c r="B225" s="5" t="s">
        <v>297</v>
      </c>
      <c r="C225" s="5" t="s">
        <v>57</v>
      </c>
      <c r="D225" s="5" t="s">
        <v>36</v>
      </c>
      <c r="E225" s="5" t="s">
        <v>37</v>
      </c>
      <c r="F225" s="5" t="s">
        <v>290</v>
      </c>
      <c r="G225" s="5" t="s">
        <v>39</v>
      </c>
      <c r="H225" s="5" t="s">
        <v>40</v>
      </c>
      <c r="I225" s="5" t="s">
        <v>58</v>
      </c>
      <c r="J225" s="5" t="n">
        <v>1</v>
      </c>
      <c r="K225" s="5"/>
      <c r="L225" s="6"/>
      <c r="M225" s="6"/>
      <c r="N225" s="6"/>
      <c r="O225" s="6"/>
      <c r="P225" s="5" t="str">
        <f aca="false">IF(M225="","",ROUND(M225*IFERROR(INDEX(Weights!$B$2:$B$4,MATCH(G225,Weights!$A$2:$A$4,0)),0)*IFERROR(INDEX(Weights!$B$7:$B$11,MATCH(E225,Weights!$A$7:$A$11,0)),0)*IFERROR(INDEX(Weights!$B$14:$B$17,MATCH(TEXT(J225,"0"),Weights!$A$14:$A$17,0)),0)/(1+N(N225)/50),1))</f>
        <v/>
      </c>
      <c r="Q225" s="5" t="s">
        <v>42</v>
      </c>
    </row>
    <row r="226" customFormat="false" ht="15" hidden="false" customHeight="false" outlineLevel="0" collapsed="false">
      <c r="A226" s="5" t="n">
        <v>225</v>
      </c>
      <c r="B226" s="5" t="s">
        <v>298</v>
      </c>
      <c r="C226" s="5" t="s">
        <v>57</v>
      </c>
      <c r="D226" s="5" t="s">
        <v>36</v>
      </c>
      <c r="E226" s="5" t="s">
        <v>37</v>
      </c>
      <c r="F226" s="5" t="s">
        <v>290</v>
      </c>
      <c r="G226" s="5" t="s">
        <v>39</v>
      </c>
      <c r="H226" s="5" t="s">
        <v>40</v>
      </c>
      <c r="I226" s="5" t="s">
        <v>58</v>
      </c>
      <c r="J226" s="5" t="n">
        <v>1</v>
      </c>
      <c r="K226" s="5"/>
      <c r="L226" s="6"/>
      <c r="M226" s="6"/>
      <c r="N226" s="6"/>
      <c r="O226" s="6"/>
      <c r="P226" s="5" t="str">
        <f aca="false">IF(M226="","",ROUND(M226*IFERROR(INDEX(Weights!$B$2:$B$4,MATCH(G226,Weights!$A$2:$A$4,0)),0)*IFERROR(INDEX(Weights!$B$7:$B$11,MATCH(E226,Weights!$A$7:$A$11,0)),0)*IFERROR(INDEX(Weights!$B$14:$B$17,MATCH(TEXT(J226,"0"),Weights!$A$14:$A$17,0)),0)/(1+N(N226)/50),1))</f>
        <v/>
      </c>
      <c r="Q226" s="5" t="s">
        <v>42</v>
      </c>
    </row>
    <row r="227" customFormat="false" ht="15" hidden="false" customHeight="false" outlineLevel="0" collapsed="false">
      <c r="A227" s="5" t="n">
        <v>226</v>
      </c>
      <c r="B227" s="5" t="s">
        <v>299</v>
      </c>
      <c r="C227" s="5" t="s">
        <v>61</v>
      </c>
      <c r="D227" s="5" t="s">
        <v>36</v>
      </c>
      <c r="E227" s="5" t="s">
        <v>37</v>
      </c>
      <c r="F227" s="5" t="s">
        <v>290</v>
      </c>
      <c r="G227" s="5" t="s">
        <v>39</v>
      </c>
      <c r="H227" s="5" t="s">
        <v>40</v>
      </c>
      <c r="I227" s="5" t="s">
        <v>62</v>
      </c>
      <c r="J227" s="5" t="n">
        <v>2</v>
      </c>
      <c r="K227" s="5"/>
      <c r="L227" s="6"/>
      <c r="M227" s="6"/>
      <c r="N227" s="6"/>
      <c r="O227" s="6"/>
      <c r="P227" s="5" t="str">
        <f aca="false">IF(M227="","",ROUND(M227*IFERROR(INDEX(Weights!$B$2:$B$4,MATCH(G227,Weights!$A$2:$A$4,0)),0)*IFERROR(INDEX(Weights!$B$7:$B$11,MATCH(E227,Weights!$A$7:$A$11,0)),0)*IFERROR(INDEX(Weights!$B$14:$B$17,MATCH(TEXT(J227,"0"),Weights!$A$14:$A$17,0)),0)/(1+N(N227)/50),1))</f>
        <v/>
      </c>
      <c r="Q227" s="5" t="s">
        <v>42</v>
      </c>
    </row>
    <row r="228" customFormat="false" ht="15" hidden="false" customHeight="false" outlineLevel="0" collapsed="false">
      <c r="A228" s="5" t="n">
        <v>227</v>
      </c>
      <c r="B228" s="5" t="s">
        <v>300</v>
      </c>
      <c r="C228" s="5" t="s">
        <v>64</v>
      </c>
      <c r="D228" s="5" t="s">
        <v>36</v>
      </c>
      <c r="E228" s="5" t="s">
        <v>37</v>
      </c>
      <c r="F228" s="5" t="s">
        <v>290</v>
      </c>
      <c r="G228" s="5" t="s">
        <v>39</v>
      </c>
      <c r="H228" s="5" t="s">
        <v>40</v>
      </c>
      <c r="I228" s="5" t="s">
        <v>64</v>
      </c>
      <c r="J228" s="5" t="n">
        <v>2</v>
      </c>
      <c r="K228" s="5"/>
      <c r="L228" s="6"/>
      <c r="M228" s="6"/>
      <c r="N228" s="6"/>
      <c r="O228" s="6"/>
      <c r="P228" s="5" t="str">
        <f aca="false">IF(M228="","",ROUND(M228*IFERROR(INDEX(Weights!$B$2:$B$4,MATCH(G228,Weights!$A$2:$A$4,0)),0)*IFERROR(INDEX(Weights!$B$7:$B$11,MATCH(E228,Weights!$A$7:$A$11,0)),0)*IFERROR(INDEX(Weights!$B$14:$B$17,MATCH(TEXT(J228,"0"),Weights!$A$14:$A$17,0)),0)/(1+N(N228)/50),1))</f>
        <v/>
      </c>
      <c r="Q228" s="5" t="s">
        <v>42</v>
      </c>
    </row>
    <row r="229" customFormat="false" ht="15" hidden="false" customHeight="false" outlineLevel="0" collapsed="false">
      <c r="A229" s="5" t="n">
        <v>228</v>
      </c>
      <c r="B229" s="5" t="s">
        <v>301</v>
      </c>
      <c r="C229" s="5" t="s">
        <v>66</v>
      </c>
      <c r="D229" s="5" t="s">
        <v>36</v>
      </c>
      <c r="E229" s="5" t="s">
        <v>37</v>
      </c>
      <c r="F229" s="5" t="s">
        <v>290</v>
      </c>
      <c r="G229" s="5" t="s">
        <v>39</v>
      </c>
      <c r="H229" s="5" t="s">
        <v>40</v>
      </c>
      <c r="I229" s="5" t="s">
        <v>67</v>
      </c>
      <c r="J229" s="5" t="n">
        <v>3</v>
      </c>
      <c r="K229" s="5"/>
      <c r="L229" s="6"/>
      <c r="M229" s="6"/>
      <c r="N229" s="6"/>
      <c r="O229" s="6"/>
      <c r="P229" s="5" t="str">
        <f aca="false">IF(M229="","",ROUND(M229*IFERROR(INDEX(Weights!$B$2:$B$4,MATCH(G229,Weights!$A$2:$A$4,0)),0)*IFERROR(INDEX(Weights!$B$7:$B$11,MATCH(E229,Weights!$A$7:$A$11,0)),0)*IFERROR(INDEX(Weights!$B$14:$B$17,MATCH(TEXT(J229,"0"),Weights!$A$14:$A$17,0)),0)/(1+N(N229)/50),1))</f>
        <v/>
      </c>
      <c r="Q229" s="5" t="s">
        <v>42</v>
      </c>
    </row>
    <row r="230" customFormat="false" ht="15" hidden="false" customHeight="false" outlineLevel="0" collapsed="false">
      <c r="A230" s="5" t="n">
        <v>229</v>
      </c>
      <c r="B230" s="5" t="s">
        <v>302</v>
      </c>
      <c r="C230" s="5" t="s">
        <v>69</v>
      </c>
      <c r="D230" s="5" t="s">
        <v>36</v>
      </c>
      <c r="E230" s="5" t="s">
        <v>37</v>
      </c>
      <c r="F230" s="5" t="s">
        <v>290</v>
      </c>
      <c r="G230" s="5" t="s">
        <v>39</v>
      </c>
      <c r="H230" s="5" t="s">
        <v>40</v>
      </c>
      <c r="I230" s="5" t="s">
        <v>70</v>
      </c>
      <c r="J230" s="5" t="n">
        <v>3</v>
      </c>
      <c r="K230" s="5"/>
      <c r="L230" s="6"/>
      <c r="M230" s="6"/>
      <c r="N230" s="6"/>
      <c r="O230" s="6"/>
      <c r="P230" s="5" t="str">
        <f aca="false">IF(M230="","",ROUND(M230*IFERROR(INDEX(Weights!$B$2:$B$4,MATCH(G230,Weights!$A$2:$A$4,0)),0)*IFERROR(INDEX(Weights!$B$7:$B$11,MATCH(E230,Weights!$A$7:$A$11,0)),0)*IFERROR(INDEX(Weights!$B$14:$B$17,MATCH(TEXT(J230,"0"),Weights!$A$14:$A$17,0)),0)/(1+N(N230)/50),1))</f>
        <v/>
      </c>
      <c r="Q230" s="5" t="s">
        <v>42</v>
      </c>
    </row>
    <row r="231" customFormat="false" ht="15" hidden="false" customHeight="false" outlineLevel="0" collapsed="false">
      <c r="A231" s="5" t="n">
        <v>230</v>
      </c>
      <c r="B231" s="5" t="s">
        <v>303</v>
      </c>
      <c r="C231" s="5" t="s">
        <v>69</v>
      </c>
      <c r="D231" s="5" t="s">
        <v>36</v>
      </c>
      <c r="E231" s="5" t="s">
        <v>37</v>
      </c>
      <c r="F231" s="5" t="s">
        <v>290</v>
      </c>
      <c r="G231" s="5" t="s">
        <v>39</v>
      </c>
      <c r="H231" s="5" t="s">
        <v>40</v>
      </c>
      <c r="I231" s="5" t="s">
        <v>70</v>
      </c>
      <c r="J231" s="5" t="n">
        <v>3</v>
      </c>
      <c r="K231" s="5"/>
      <c r="L231" s="6"/>
      <c r="M231" s="6"/>
      <c r="N231" s="6"/>
      <c r="O231" s="6"/>
      <c r="P231" s="5" t="str">
        <f aca="false">IF(M231="","",ROUND(M231*IFERROR(INDEX(Weights!$B$2:$B$4,MATCH(G231,Weights!$A$2:$A$4,0)),0)*IFERROR(INDEX(Weights!$B$7:$B$11,MATCH(E231,Weights!$A$7:$A$11,0)),0)*IFERROR(INDEX(Weights!$B$14:$B$17,MATCH(TEXT(J231,"0"),Weights!$A$14:$A$17,0)),0)/(1+N(N231)/50),1))</f>
        <v/>
      </c>
      <c r="Q231" s="5" t="s">
        <v>42</v>
      </c>
    </row>
    <row r="232" customFormat="false" ht="15" hidden="false" customHeight="false" outlineLevel="0" collapsed="false">
      <c r="A232" s="5" t="n">
        <v>231</v>
      </c>
      <c r="B232" s="5" t="s">
        <v>304</v>
      </c>
      <c r="C232" s="5" t="s">
        <v>64</v>
      </c>
      <c r="D232" s="5" t="s">
        <v>36</v>
      </c>
      <c r="E232" s="5" t="s">
        <v>37</v>
      </c>
      <c r="F232" s="5" t="s">
        <v>290</v>
      </c>
      <c r="G232" s="5" t="s">
        <v>39</v>
      </c>
      <c r="H232" s="5" t="s">
        <v>40</v>
      </c>
      <c r="I232" s="5" t="s">
        <v>64</v>
      </c>
      <c r="J232" s="5" t="n">
        <v>2</v>
      </c>
      <c r="K232" s="5"/>
      <c r="L232" s="6"/>
      <c r="M232" s="6"/>
      <c r="N232" s="6"/>
      <c r="O232" s="6"/>
      <c r="P232" s="5" t="str">
        <f aca="false">IF(M232="","",ROUND(M232*IFERROR(INDEX(Weights!$B$2:$B$4,MATCH(G232,Weights!$A$2:$A$4,0)),0)*IFERROR(INDEX(Weights!$B$7:$B$11,MATCH(E232,Weights!$A$7:$A$11,0)),0)*IFERROR(INDEX(Weights!$B$14:$B$17,MATCH(TEXT(J232,"0"),Weights!$A$14:$A$17,0)),0)/(1+N(N232)/50),1))</f>
        <v/>
      </c>
      <c r="Q232" s="5" t="s">
        <v>42</v>
      </c>
    </row>
    <row r="233" customFormat="false" ht="15" hidden="false" customHeight="false" outlineLevel="0" collapsed="false">
      <c r="A233" s="5" t="n">
        <v>232</v>
      </c>
      <c r="B233" s="5" t="s">
        <v>305</v>
      </c>
      <c r="C233" s="5" t="s">
        <v>74</v>
      </c>
      <c r="D233" s="5" t="s">
        <v>36</v>
      </c>
      <c r="E233" s="5" t="s">
        <v>37</v>
      </c>
      <c r="F233" s="5" t="s">
        <v>290</v>
      </c>
      <c r="G233" s="5" t="s">
        <v>39</v>
      </c>
      <c r="H233" s="5" t="s">
        <v>40</v>
      </c>
      <c r="I233" s="5" t="s">
        <v>75</v>
      </c>
      <c r="J233" s="5" t="n">
        <v>2</v>
      </c>
      <c r="K233" s="5"/>
      <c r="L233" s="6"/>
      <c r="M233" s="6"/>
      <c r="N233" s="6"/>
      <c r="O233" s="6"/>
      <c r="P233" s="5" t="str">
        <f aca="false">IF(M233="","",ROUND(M233*IFERROR(INDEX(Weights!$B$2:$B$4,MATCH(G233,Weights!$A$2:$A$4,0)),0)*IFERROR(INDEX(Weights!$B$7:$B$11,MATCH(E233,Weights!$A$7:$A$11,0)),0)*IFERROR(INDEX(Weights!$B$14:$B$17,MATCH(TEXT(J233,"0"),Weights!$A$14:$A$17,0)),0)/(1+N(N233)/50),1))</f>
        <v/>
      </c>
      <c r="Q233" s="5" t="s">
        <v>42</v>
      </c>
    </row>
    <row r="234" customFormat="false" ht="15" hidden="false" customHeight="false" outlineLevel="0" collapsed="false">
      <c r="A234" s="5" t="n">
        <v>233</v>
      </c>
      <c r="B234" s="5" t="s">
        <v>306</v>
      </c>
      <c r="C234" s="5" t="s">
        <v>74</v>
      </c>
      <c r="D234" s="5" t="s">
        <v>36</v>
      </c>
      <c r="E234" s="5" t="s">
        <v>37</v>
      </c>
      <c r="F234" s="5" t="s">
        <v>290</v>
      </c>
      <c r="G234" s="5" t="s">
        <v>39</v>
      </c>
      <c r="H234" s="5" t="s">
        <v>40</v>
      </c>
      <c r="I234" s="5" t="s">
        <v>75</v>
      </c>
      <c r="J234" s="5" t="n">
        <v>2</v>
      </c>
      <c r="K234" s="5"/>
      <c r="L234" s="6"/>
      <c r="M234" s="6"/>
      <c r="N234" s="6"/>
      <c r="O234" s="6"/>
      <c r="P234" s="5" t="str">
        <f aca="false">IF(M234="","",ROUND(M234*IFERROR(INDEX(Weights!$B$2:$B$4,MATCH(G234,Weights!$A$2:$A$4,0)),0)*IFERROR(INDEX(Weights!$B$7:$B$11,MATCH(E234,Weights!$A$7:$A$11,0)),0)*IFERROR(INDEX(Weights!$B$14:$B$17,MATCH(TEXT(J234,"0"),Weights!$A$14:$A$17,0)),0)/(1+N(N234)/50),1))</f>
        <v/>
      </c>
      <c r="Q234" s="5" t="s">
        <v>42</v>
      </c>
    </row>
    <row r="235" customFormat="false" ht="15" hidden="false" customHeight="false" outlineLevel="0" collapsed="false">
      <c r="A235" s="5" t="n">
        <v>234</v>
      </c>
      <c r="B235" s="5" t="s">
        <v>307</v>
      </c>
      <c r="C235" s="5" t="s">
        <v>78</v>
      </c>
      <c r="D235" s="5" t="s">
        <v>36</v>
      </c>
      <c r="E235" s="5" t="s">
        <v>37</v>
      </c>
      <c r="F235" s="5" t="s">
        <v>290</v>
      </c>
      <c r="G235" s="5" t="s">
        <v>39</v>
      </c>
      <c r="H235" s="5" t="s">
        <v>40</v>
      </c>
      <c r="I235" s="5" t="s">
        <v>79</v>
      </c>
      <c r="J235" s="5" t="n">
        <v>2</v>
      </c>
      <c r="K235" s="5"/>
      <c r="L235" s="6"/>
      <c r="M235" s="6"/>
      <c r="N235" s="6"/>
      <c r="O235" s="6"/>
      <c r="P235" s="5" t="str">
        <f aca="false">IF(M235="","",ROUND(M235*IFERROR(INDEX(Weights!$B$2:$B$4,MATCH(G235,Weights!$A$2:$A$4,0)),0)*IFERROR(INDEX(Weights!$B$7:$B$11,MATCH(E235,Weights!$A$7:$A$11,0)),0)*IFERROR(INDEX(Weights!$B$14:$B$17,MATCH(TEXT(J235,"0"),Weights!$A$14:$A$17,0)),0)/(1+N(N235)/50),1))</f>
        <v/>
      </c>
      <c r="Q235" s="5" t="s">
        <v>42</v>
      </c>
    </row>
    <row r="236" customFormat="false" ht="15" hidden="false" customHeight="false" outlineLevel="0" collapsed="false">
      <c r="A236" s="5" t="n">
        <v>235</v>
      </c>
      <c r="B236" s="5" t="s">
        <v>308</v>
      </c>
      <c r="C236" s="5" t="s">
        <v>35</v>
      </c>
      <c r="D236" s="5" t="s">
        <v>36</v>
      </c>
      <c r="E236" s="5" t="s">
        <v>37</v>
      </c>
      <c r="F236" s="5" t="s">
        <v>309</v>
      </c>
      <c r="G236" s="5" t="s">
        <v>39</v>
      </c>
      <c r="H236" s="5" t="s">
        <v>40</v>
      </c>
      <c r="I236" s="5" t="s">
        <v>41</v>
      </c>
      <c r="J236" s="5" t="n">
        <v>1</v>
      </c>
      <c r="K236" s="5"/>
      <c r="L236" s="6"/>
      <c r="M236" s="6"/>
      <c r="N236" s="6"/>
      <c r="O236" s="6"/>
      <c r="P236" s="5" t="str">
        <f aca="false">IF(M236="","",ROUND(M236*IFERROR(INDEX(Weights!$B$2:$B$4,MATCH(G236,Weights!$A$2:$A$4,0)),0)*IFERROR(INDEX(Weights!$B$7:$B$11,MATCH(E236,Weights!$A$7:$A$11,0)),0)*IFERROR(INDEX(Weights!$B$14:$B$17,MATCH(TEXT(J236,"0"),Weights!$A$14:$A$17,0)),0)/(1+N(N236)/50),1))</f>
        <v/>
      </c>
      <c r="Q236" s="5" t="s">
        <v>42</v>
      </c>
    </row>
    <row r="237" customFormat="false" ht="15" hidden="false" customHeight="false" outlineLevel="0" collapsed="false">
      <c r="A237" s="5" t="n">
        <v>236</v>
      </c>
      <c r="B237" s="5" t="s">
        <v>310</v>
      </c>
      <c r="C237" s="5" t="s">
        <v>35</v>
      </c>
      <c r="D237" s="5" t="s">
        <v>36</v>
      </c>
      <c r="E237" s="5" t="s">
        <v>37</v>
      </c>
      <c r="F237" s="5" t="s">
        <v>309</v>
      </c>
      <c r="G237" s="5" t="s">
        <v>39</v>
      </c>
      <c r="H237" s="5" t="s">
        <v>40</v>
      </c>
      <c r="I237" s="5" t="s">
        <v>44</v>
      </c>
      <c r="J237" s="5" t="n">
        <v>1</v>
      </c>
      <c r="K237" s="5"/>
      <c r="L237" s="6"/>
      <c r="M237" s="6"/>
      <c r="N237" s="6"/>
      <c r="O237" s="6"/>
      <c r="P237" s="5" t="str">
        <f aca="false">IF(M237="","",ROUND(M237*IFERROR(INDEX(Weights!$B$2:$B$4,MATCH(G237,Weights!$A$2:$A$4,0)),0)*IFERROR(INDEX(Weights!$B$7:$B$11,MATCH(E237,Weights!$A$7:$A$11,0)),0)*IFERROR(INDEX(Weights!$B$14:$B$17,MATCH(TEXT(J237,"0"),Weights!$A$14:$A$17,0)),0)/(1+N(N237)/50),1))</f>
        <v/>
      </c>
      <c r="Q237" s="5" t="s">
        <v>42</v>
      </c>
    </row>
    <row r="238" customFormat="false" ht="15" hidden="false" customHeight="false" outlineLevel="0" collapsed="false">
      <c r="A238" s="5" t="n">
        <v>237</v>
      </c>
      <c r="B238" s="5" t="s">
        <v>311</v>
      </c>
      <c r="C238" s="5" t="s">
        <v>35</v>
      </c>
      <c r="D238" s="5" t="s">
        <v>36</v>
      </c>
      <c r="E238" s="5" t="s">
        <v>37</v>
      </c>
      <c r="F238" s="5" t="s">
        <v>309</v>
      </c>
      <c r="G238" s="5" t="s">
        <v>39</v>
      </c>
      <c r="H238" s="5" t="s">
        <v>40</v>
      </c>
      <c r="I238" s="5" t="s">
        <v>44</v>
      </c>
      <c r="J238" s="5" t="n">
        <v>1</v>
      </c>
      <c r="K238" s="5"/>
      <c r="L238" s="6"/>
      <c r="M238" s="6"/>
      <c r="N238" s="6"/>
      <c r="O238" s="6"/>
      <c r="P238" s="5" t="str">
        <f aca="false">IF(M238="","",ROUND(M238*IFERROR(INDEX(Weights!$B$2:$B$4,MATCH(G238,Weights!$A$2:$A$4,0)),0)*IFERROR(INDEX(Weights!$B$7:$B$11,MATCH(E238,Weights!$A$7:$A$11,0)),0)*IFERROR(INDEX(Weights!$B$14:$B$17,MATCH(TEXT(J238,"0"),Weights!$A$14:$A$17,0)),0)/(1+N(N238)/50),1))</f>
        <v/>
      </c>
      <c r="Q238" s="5" t="s">
        <v>42</v>
      </c>
    </row>
    <row r="239" customFormat="false" ht="15" hidden="false" customHeight="false" outlineLevel="0" collapsed="false">
      <c r="A239" s="5" t="n">
        <v>238</v>
      </c>
      <c r="B239" s="5" t="s">
        <v>312</v>
      </c>
      <c r="C239" s="5" t="s">
        <v>47</v>
      </c>
      <c r="D239" s="5" t="s">
        <v>36</v>
      </c>
      <c r="E239" s="5" t="s">
        <v>37</v>
      </c>
      <c r="F239" s="5" t="s">
        <v>309</v>
      </c>
      <c r="G239" s="5" t="s">
        <v>39</v>
      </c>
      <c r="H239" s="5" t="s">
        <v>40</v>
      </c>
      <c r="I239" s="5" t="s">
        <v>48</v>
      </c>
      <c r="J239" s="5" t="n">
        <v>1</v>
      </c>
      <c r="K239" s="5"/>
      <c r="L239" s="6"/>
      <c r="M239" s="6"/>
      <c r="N239" s="6"/>
      <c r="O239" s="6"/>
      <c r="P239" s="5" t="str">
        <f aca="false">IF(M239="","",ROUND(M239*IFERROR(INDEX(Weights!$B$2:$B$4,MATCH(G239,Weights!$A$2:$A$4,0)),0)*IFERROR(INDEX(Weights!$B$7:$B$11,MATCH(E239,Weights!$A$7:$A$11,0)),0)*IFERROR(INDEX(Weights!$B$14:$B$17,MATCH(TEXT(J239,"0"),Weights!$A$14:$A$17,0)),0)/(1+N(N239)/50),1))</f>
        <v/>
      </c>
      <c r="Q239" s="5" t="s">
        <v>42</v>
      </c>
    </row>
    <row r="240" customFormat="false" ht="15" hidden="false" customHeight="false" outlineLevel="0" collapsed="false">
      <c r="A240" s="5" t="n">
        <v>239</v>
      </c>
      <c r="B240" s="5" t="s">
        <v>313</v>
      </c>
      <c r="C240" s="5" t="s">
        <v>47</v>
      </c>
      <c r="D240" s="5" t="s">
        <v>36</v>
      </c>
      <c r="E240" s="5" t="s">
        <v>37</v>
      </c>
      <c r="F240" s="5" t="s">
        <v>309</v>
      </c>
      <c r="G240" s="5" t="s">
        <v>39</v>
      </c>
      <c r="H240" s="5" t="s">
        <v>40</v>
      </c>
      <c r="I240" s="5" t="s">
        <v>48</v>
      </c>
      <c r="J240" s="5" t="n">
        <v>1</v>
      </c>
      <c r="K240" s="5"/>
      <c r="L240" s="6"/>
      <c r="M240" s="6"/>
      <c r="N240" s="6"/>
      <c r="O240" s="6"/>
      <c r="P240" s="5" t="str">
        <f aca="false">IF(M240="","",ROUND(M240*IFERROR(INDEX(Weights!$B$2:$B$4,MATCH(G240,Weights!$A$2:$A$4,0)),0)*IFERROR(INDEX(Weights!$B$7:$B$11,MATCH(E240,Weights!$A$7:$A$11,0)),0)*IFERROR(INDEX(Weights!$B$14:$B$17,MATCH(TEXT(J240,"0"),Weights!$A$14:$A$17,0)),0)/(1+N(N240)/50),1))</f>
        <v/>
      </c>
      <c r="Q240" s="5" t="s">
        <v>42</v>
      </c>
    </row>
    <row r="241" customFormat="false" ht="15" hidden="false" customHeight="false" outlineLevel="0" collapsed="false">
      <c r="A241" s="5" t="n">
        <v>240</v>
      </c>
      <c r="B241" s="5" t="s">
        <v>314</v>
      </c>
      <c r="C241" s="5" t="s">
        <v>51</v>
      </c>
      <c r="D241" s="5" t="s">
        <v>36</v>
      </c>
      <c r="E241" s="5" t="s">
        <v>37</v>
      </c>
      <c r="F241" s="5" t="s">
        <v>309</v>
      </c>
      <c r="G241" s="5" t="s">
        <v>39</v>
      </c>
      <c r="H241" s="5" t="s">
        <v>40</v>
      </c>
      <c r="I241" s="5" t="s">
        <v>52</v>
      </c>
      <c r="J241" s="5" t="n">
        <v>1</v>
      </c>
      <c r="K241" s="5"/>
      <c r="L241" s="6"/>
      <c r="M241" s="6"/>
      <c r="N241" s="6"/>
      <c r="O241" s="6"/>
      <c r="P241" s="5" t="str">
        <f aca="false">IF(M241="","",ROUND(M241*IFERROR(INDEX(Weights!$B$2:$B$4,MATCH(G241,Weights!$A$2:$A$4,0)),0)*IFERROR(INDEX(Weights!$B$7:$B$11,MATCH(E241,Weights!$A$7:$A$11,0)),0)*IFERROR(INDEX(Weights!$B$14:$B$17,MATCH(TEXT(J241,"0"),Weights!$A$14:$A$17,0)),0)/(1+N(N241)/50),1))</f>
        <v/>
      </c>
      <c r="Q241" s="5" t="s">
        <v>42</v>
      </c>
    </row>
    <row r="242" customFormat="false" ht="15" hidden="false" customHeight="false" outlineLevel="0" collapsed="false">
      <c r="A242" s="5" t="n">
        <v>241</v>
      </c>
      <c r="B242" s="5" t="s">
        <v>315</v>
      </c>
      <c r="C242" s="5" t="s">
        <v>54</v>
      </c>
      <c r="D242" s="5" t="s">
        <v>36</v>
      </c>
      <c r="E242" s="5" t="s">
        <v>37</v>
      </c>
      <c r="F242" s="5" t="s">
        <v>309</v>
      </c>
      <c r="G242" s="5" t="s">
        <v>39</v>
      </c>
      <c r="H242" s="5" t="s">
        <v>40</v>
      </c>
      <c r="I242" s="5" t="s">
        <v>55</v>
      </c>
      <c r="J242" s="5" t="n">
        <v>1</v>
      </c>
      <c r="K242" s="5"/>
      <c r="L242" s="6"/>
      <c r="M242" s="6"/>
      <c r="N242" s="6"/>
      <c r="O242" s="6"/>
      <c r="P242" s="5" t="str">
        <f aca="false">IF(M242="","",ROUND(M242*IFERROR(INDEX(Weights!$B$2:$B$4,MATCH(G242,Weights!$A$2:$A$4,0)),0)*IFERROR(INDEX(Weights!$B$7:$B$11,MATCH(E242,Weights!$A$7:$A$11,0)),0)*IFERROR(INDEX(Weights!$B$14:$B$17,MATCH(TEXT(J242,"0"),Weights!$A$14:$A$17,0)),0)/(1+N(N242)/50),1))</f>
        <v/>
      </c>
      <c r="Q242" s="5" t="s">
        <v>42</v>
      </c>
    </row>
    <row r="243" customFormat="false" ht="15" hidden="false" customHeight="false" outlineLevel="0" collapsed="false">
      <c r="A243" s="5" t="n">
        <v>242</v>
      </c>
      <c r="B243" s="5" t="s">
        <v>316</v>
      </c>
      <c r="C243" s="5" t="s">
        <v>57</v>
      </c>
      <c r="D243" s="5" t="s">
        <v>36</v>
      </c>
      <c r="E243" s="5" t="s">
        <v>37</v>
      </c>
      <c r="F243" s="5" t="s">
        <v>309</v>
      </c>
      <c r="G243" s="5" t="s">
        <v>39</v>
      </c>
      <c r="H243" s="5" t="s">
        <v>40</v>
      </c>
      <c r="I243" s="5" t="s">
        <v>58</v>
      </c>
      <c r="J243" s="5" t="n">
        <v>1</v>
      </c>
      <c r="K243" s="5"/>
      <c r="L243" s="6"/>
      <c r="M243" s="6"/>
      <c r="N243" s="6"/>
      <c r="O243" s="6"/>
      <c r="P243" s="5" t="str">
        <f aca="false">IF(M243="","",ROUND(M243*IFERROR(INDEX(Weights!$B$2:$B$4,MATCH(G243,Weights!$A$2:$A$4,0)),0)*IFERROR(INDEX(Weights!$B$7:$B$11,MATCH(E243,Weights!$A$7:$A$11,0)),0)*IFERROR(INDEX(Weights!$B$14:$B$17,MATCH(TEXT(J243,"0"),Weights!$A$14:$A$17,0)),0)/(1+N(N243)/50),1))</f>
        <v/>
      </c>
      <c r="Q243" s="5" t="s">
        <v>42</v>
      </c>
    </row>
    <row r="244" customFormat="false" ht="15" hidden="false" customHeight="false" outlineLevel="0" collapsed="false">
      <c r="A244" s="5" t="n">
        <v>243</v>
      </c>
      <c r="B244" s="5" t="s">
        <v>317</v>
      </c>
      <c r="C244" s="5" t="s">
        <v>57</v>
      </c>
      <c r="D244" s="5" t="s">
        <v>36</v>
      </c>
      <c r="E244" s="5" t="s">
        <v>37</v>
      </c>
      <c r="F244" s="5" t="s">
        <v>309</v>
      </c>
      <c r="G244" s="5" t="s">
        <v>39</v>
      </c>
      <c r="H244" s="5" t="s">
        <v>40</v>
      </c>
      <c r="I244" s="5" t="s">
        <v>58</v>
      </c>
      <c r="J244" s="5" t="n">
        <v>1</v>
      </c>
      <c r="K244" s="5"/>
      <c r="L244" s="6"/>
      <c r="M244" s="6"/>
      <c r="N244" s="6"/>
      <c r="O244" s="6"/>
      <c r="P244" s="5" t="str">
        <f aca="false">IF(M244="","",ROUND(M244*IFERROR(INDEX(Weights!$B$2:$B$4,MATCH(G244,Weights!$A$2:$A$4,0)),0)*IFERROR(INDEX(Weights!$B$7:$B$11,MATCH(E244,Weights!$A$7:$A$11,0)),0)*IFERROR(INDEX(Weights!$B$14:$B$17,MATCH(TEXT(J244,"0"),Weights!$A$14:$A$17,0)),0)/(1+N(N244)/50),1))</f>
        <v/>
      </c>
      <c r="Q244" s="5" t="s">
        <v>42</v>
      </c>
    </row>
    <row r="245" customFormat="false" ht="15" hidden="false" customHeight="false" outlineLevel="0" collapsed="false">
      <c r="A245" s="5" t="n">
        <v>244</v>
      </c>
      <c r="B245" s="5" t="s">
        <v>318</v>
      </c>
      <c r="C245" s="5" t="s">
        <v>61</v>
      </c>
      <c r="D245" s="5" t="s">
        <v>36</v>
      </c>
      <c r="E245" s="5" t="s">
        <v>37</v>
      </c>
      <c r="F245" s="5" t="s">
        <v>309</v>
      </c>
      <c r="G245" s="5" t="s">
        <v>39</v>
      </c>
      <c r="H245" s="5" t="s">
        <v>40</v>
      </c>
      <c r="I245" s="5" t="s">
        <v>62</v>
      </c>
      <c r="J245" s="5" t="n">
        <v>2</v>
      </c>
      <c r="K245" s="5"/>
      <c r="L245" s="6"/>
      <c r="M245" s="6"/>
      <c r="N245" s="6"/>
      <c r="O245" s="6"/>
      <c r="P245" s="5" t="str">
        <f aca="false">IF(M245="","",ROUND(M245*IFERROR(INDEX(Weights!$B$2:$B$4,MATCH(G245,Weights!$A$2:$A$4,0)),0)*IFERROR(INDEX(Weights!$B$7:$B$11,MATCH(E245,Weights!$A$7:$A$11,0)),0)*IFERROR(INDEX(Weights!$B$14:$B$17,MATCH(TEXT(J245,"0"),Weights!$A$14:$A$17,0)),0)/(1+N(N245)/50),1))</f>
        <v/>
      </c>
      <c r="Q245" s="5" t="s">
        <v>42</v>
      </c>
    </row>
    <row r="246" customFormat="false" ht="15" hidden="false" customHeight="false" outlineLevel="0" collapsed="false">
      <c r="A246" s="5" t="n">
        <v>245</v>
      </c>
      <c r="B246" s="5" t="s">
        <v>319</v>
      </c>
      <c r="C246" s="5" t="s">
        <v>64</v>
      </c>
      <c r="D246" s="5" t="s">
        <v>36</v>
      </c>
      <c r="E246" s="5" t="s">
        <v>37</v>
      </c>
      <c r="F246" s="5" t="s">
        <v>309</v>
      </c>
      <c r="G246" s="5" t="s">
        <v>39</v>
      </c>
      <c r="H246" s="5" t="s">
        <v>40</v>
      </c>
      <c r="I246" s="5" t="s">
        <v>64</v>
      </c>
      <c r="J246" s="5" t="n">
        <v>2</v>
      </c>
      <c r="K246" s="5"/>
      <c r="L246" s="6"/>
      <c r="M246" s="6"/>
      <c r="N246" s="6"/>
      <c r="O246" s="6"/>
      <c r="P246" s="5" t="str">
        <f aca="false">IF(M246="","",ROUND(M246*IFERROR(INDEX(Weights!$B$2:$B$4,MATCH(G246,Weights!$A$2:$A$4,0)),0)*IFERROR(INDEX(Weights!$B$7:$B$11,MATCH(E246,Weights!$A$7:$A$11,0)),0)*IFERROR(INDEX(Weights!$B$14:$B$17,MATCH(TEXT(J246,"0"),Weights!$A$14:$A$17,0)),0)/(1+N(N246)/50),1))</f>
        <v/>
      </c>
      <c r="Q246" s="5" t="s">
        <v>42</v>
      </c>
    </row>
    <row r="247" customFormat="false" ht="15" hidden="false" customHeight="false" outlineLevel="0" collapsed="false">
      <c r="A247" s="5" t="n">
        <v>246</v>
      </c>
      <c r="B247" s="5" t="s">
        <v>320</v>
      </c>
      <c r="C247" s="5" t="s">
        <v>66</v>
      </c>
      <c r="D247" s="5" t="s">
        <v>36</v>
      </c>
      <c r="E247" s="5" t="s">
        <v>37</v>
      </c>
      <c r="F247" s="5" t="s">
        <v>309</v>
      </c>
      <c r="G247" s="5" t="s">
        <v>39</v>
      </c>
      <c r="H247" s="5" t="s">
        <v>40</v>
      </c>
      <c r="I247" s="5" t="s">
        <v>67</v>
      </c>
      <c r="J247" s="5" t="n">
        <v>3</v>
      </c>
      <c r="K247" s="5"/>
      <c r="L247" s="6"/>
      <c r="M247" s="6"/>
      <c r="N247" s="6"/>
      <c r="O247" s="6"/>
      <c r="P247" s="5" t="str">
        <f aca="false">IF(M247="","",ROUND(M247*IFERROR(INDEX(Weights!$B$2:$B$4,MATCH(G247,Weights!$A$2:$A$4,0)),0)*IFERROR(INDEX(Weights!$B$7:$B$11,MATCH(E247,Weights!$A$7:$A$11,0)),0)*IFERROR(INDEX(Weights!$B$14:$B$17,MATCH(TEXT(J247,"0"),Weights!$A$14:$A$17,0)),0)/(1+N(N247)/50),1))</f>
        <v/>
      </c>
      <c r="Q247" s="5" t="s">
        <v>42</v>
      </c>
    </row>
    <row r="248" customFormat="false" ht="15" hidden="false" customHeight="false" outlineLevel="0" collapsed="false">
      <c r="A248" s="5" t="n">
        <v>247</v>
      </c>
      <c r="B248" s="5" t="s">
        <v>321</v>
      </c>
      <c r="C248" s="5" t="s">
        <v>69</v>
      </c>
      <c r="D248" s="5" t="s">
        <v>36</v>
      </c>
      <c r="E248" s="5" t="s">
        <v>37</v>
      </c>
      <c r="F248" s="5" t="s">
        <v>309</v>
      </c>
      <c r="G248" s="5" t="s">
        <v>39</v>
      </c>
      <c r="H248" s="5" t="s">
        <v>40</v>
      </c>
      <c r="I248" s="5" t="s">
        <v>70</v>
      </c>
      <c r="J248" s="5" t="n">
        <v>3</v>
      </c>
      <c r="K248" s="5"/>
      <c r="L248" s="6"/>
      <c r="M248" s="6"/>
      <c r="N248" s="6"/>
      <c r="O248" s="6"/>
      <c r="P248" s="5" t="str">
        <f aca="false">IF(M248="","",ROUND(M248*IFERROR(INDEX(Weights!$B$2:$B$4,MATCH(G248,Weights!$A$2:$A$4,0)),0)*IFERROR(INDEX(Weights!$B$7:$B$11,MATCH(E248,Weights!$A$7:$A$11,0)),0)*IFERROR(INDEX(Weights!$B$14:$B$17,MATCH(TEXT(J248,"0"),Weights!$A$14:$A$17,0)),0)/(1+N(N248)/50),1))</f>
        <v/>
      </c>
      <c r="Q248" s="5" t="s">
        <v>42</v>
      </c>
    </row>
    <row r="249" customFormat="false" ht="15" hidden="false" customHeight="false" outlineLevel="0" collapsed="false">
      <c r="A249" s="5" t="n">
        <v>248</v>
      </c>
      <c r="B249" s="5" t="s">
        <v>322</v>
      </c>
      <c r="C249" s="5" t="s">
        <v>69</v>
      </c>
      <c r="D249" s="5" t="s">
        <v>36</v>
      </c>
      <c r="E249" s="5" t="s">
        <v>37</v>
      </c>
      <c r="F249" s="5" t="s">
        <v>309</v>
      </c>
      <c r="G249" s="5" t="s">
        <v>39</v>
      </c>
      <c r="H249" s="5" t="s">
        <v>40</v>
      </c>
      <c r="I249" s="5" t="s">
        <v>70</v>
      </c>
      <c r="J249" s="5" t="n">
        <v>3</v>
      </c>
      <c r="K249" s="5"/>
      <c r="L249" s="6"/>
      <c r="M249" s="6"/>
      <c r="N249" s="6"/>
      <c r="O249" s="6"/>
      <c r="P249" s="5" t="str">
        <f aca="false">IF(M249="","",ROUND(M249*IFERROR(INDEX(Weights!$B$2:$B$4,MATCH(G249,Weights!$A$2:$A$4,0)),0)*IFERROR(INDEX(Weights!$B$7:$B$11,MATCH(E249,Weights!$A$7:$A$11,0)),0)*IFERROR(INDEX(Weights!$B$14:$B$17,MATCH(TEXT(J249,"0"),Weights!$A$14:$A$17,0)),0)/(1+N(N249)/50),1))</f>
        <v/>
      </c>
      <c r="Q249" s="5" t="s">
        <v>42</v>
      </c>
    </row>
    <row r="250" customFormat="false" ht="15" hidden="false" customHeight="false" outlineLevel="0" collapsed="false">
      <c r="A250" s="5" t="n">
        <v>249</v>
      </c>
      <c r="B250" s="5" t="s">
        <v>323</v>
      </c>
      <c r="C250" s="5" t="s">
        <v>64</v>
      </c>
      <c r="D250" s="5" t="s">
        <v>36</v>
      </c>
      <c r="E250" s="5" t="s">
        <v>37</v>
      </c>
      <c r="F250" s="5" t="s">
        <v>309</v>
      </c>
      <c r="G250" s="5" t="s">
        <v>39</v>
      </c>
      <c r="H250" s="5" t="s">
        <v>40</v>
      </c>
      <c r="I250" s="5" t="s">
        <v>64</v>
      </c>
      <c r="J250" s="5" t="n">
        <v>2</v>
      </c>
      <c r="K250" s="5"/>
      <c r="L250" s="6"/>
      <c r="M250" s="6"/>
      <c r="N250" s="6"/>
      <c r="O250" s="6"/>
      <c r="P250" s="5" t="str">
        <f aca="false">IF(M250="","",ROUND(M250*IFERROR(INDEX(Weights!$B$2:$B$4,MATCH(G250,Weights!$A$2:$A$4,0)),0)*IFERROR(INDEX(Weights!$B$7:$B$11,MATCH(E250,Weights!$A$7:$A$11,0)),0)*IFERROR(INDEX(Weights!$B$14:$B$17,MATCH(TEXT(J250,"0"),Weights!$A$14:$A$17,0)),0)/(1+N(N250)/50),1))</f>
        <v/>
      </c>
      <c r="Q250" s="5" t="s">
        <v>42</v>
      </c>
    </row>
    <row r="251" customFormat="false" ht="15" hidden="false" customHeight="false" outlineLevel="0" collapsed="false">
      <c r="A251" s="5" t="n">
        <v>250</v>
      </c>
      <c r="B251" s="5" t="s">
        <v>324</v>
      </c>
      <c r="C251" s="5" t="s">
        <v>74</v>
      </c>
      <c r="D251" s="5" t="s">
        <v>36</v>
      </c>
      <c r="E251" s="5" t="s">
        <v>37</v>
      </c>
      <c r="F251" s="5" t="s">
        <v>309</v>
      </c>
      <c r="G251" s="5" t="s">
        <v>39</v>
      </c>
      <c r="H251" s="5" t="s">
        <v>40</v>
      </c>
      <c r="I251" s="5" t="s">
        <v>75</v>
      </c>
      <c r="J251" s="5" t="n">
        <v>2</v>
      </c>
      <c r="K251" s="5"/>
      <c r="L251" s="6"/>
      <c r="M251" s="6"/>
      <c r="N251" s="6"/>
      <c r="O251" s="6"/>
      <c r="P251" s="5" t="str">
        <f aca="false">IF(M251="","",ROUND(M251*IFERROR(INDEX(Weights!$B$2:$B$4,MATCH(G251,Weights!$A$2:$A$4,0)),0)*IFERROR(INDEX(Weights!$B$7:$B$11,MATCH(E251,Weights!$A$7:$A$11,0)),0)*IFERROR(INDEX(Weights!$B$14:$B$17,MATCH(TEXT(J251,"0"),Weights!$A$14:$A$17,0)),0)/(1+N(N251)/50),1))</f>
        <v/>
      </c>
      <c r="Q251" s="5" t="s">
        <v>42</v>
      </c>
    </row>
    <row r="252" customFormat="false" ht="15" hidden="false" customHeight="false" outlineLevel="0" collapsed="false">
      <c r="A252" s="5" t="n">
        <v>251</v>
      </c>
      <c r="B252" s="5" t="s">
        <v>325</v>
      </c>
      <c r="C252" s="5" t="s">
        <v>74</v>
      </c>
      <c r="D252" s="5" t="s">
        <v>36</v>
      </c>
      <c r="E252" s="5" t="s">
        <v>37</v>
      </c>
      <c r="F252" s="5" t="s">
        <v>309</v>
      </c>
      <c r="G252" s="5" t="s">
        <v>39</v>
      </c>
      <c r="H252" s="5" t="s">
        <v>40</v>
      </c>
      <c r="I252" s="5" t="s">
        <v>75</v>
      </c>
      <c r="J252" s="5" t="n">
        <v>2</v>
      </c>
      <c r="K252" s="5"/>
      <c r="L252" s="6"/>
      <c r="M252" s="6"/>
      <c r="N252" s="6"/>
      <c r="O252" s="6"/>
      <c r="P252" s="5" t="str">
        <f aca="false">IF(M252="","",ROUND(M252*IFERROR(INDEX(Weights!$B$2:$B$4,MATCH(G252,Weights!$A$2:$A$4,0)),0)*IFERROR(INDEX(Weights!$B$7:$B$11,MATCH(E252,Weights!$A$7:$A$11,0)),0)*IFERROR(INDEX(Weights!$B$14:$B$17,MATCH(TEXT(J252,"0"),Weights!$A$14:$A$17,0)),0)/(1+N(N252)/50),1))</f>
        <v/>
      </c>
      <c r="Q252" s="5" t="s">
        <v>42</v>
      </c>
    </row>
    <row r="253" customFormat="false" ht="15" hidden="false" customHeight="false" outlineLevel="0" collapsed="false">
      <c r="A253" s="5" t="n">
        <v>252</v>
      </c>
      <c r="B253" s="5" t="s">
        <v>326</v>
      </c>
      <c r="C253" s="5" t="s">
        <v>78</v>
      </c>
      <c r="D253" s="5" t="s">
        <v>36</v>
      </c>
      <c r="E253" s="5" t="s">
        <v>37</v>
      </c>
      <c r="F253" s="5" t="s">
        <v>309</v>
      </c>
      <c r="G253" s="5" t="s">
        <v>39</v>
      </c>
      <c r="H253" s="5" t="s">
        <v>40</v>
      </c>
      <c r="I253" s="5" t="s">
        <v>79</v>
      </c>
      <c r="J253" s="5" t="n">
        <v>2</v>
      </c>
      <c r="K253" s="5"/>
      <c r="L253" s="6"/>
      <c r="M253" s="6"/>
      <c r="N253" s="6"/>
      <c r="O253" s="6"/>
      <c r="P253" s="5" t="str">
        <f aca="false">IF(M253="","",ROUND(M253*IFERROR(INDEX(Weights!$B$2:$B$4,MATCH(G253,Weights!$A$2:$A$4,0)),0)*IFERROR(INDEX(Weights!$B$7:$B$11,MATCH(E253,Weights!$A$7:$A$11,0)),0)*IFERROR(INDEX(Weights!$B$14:$B$17,MATCH(TEXT(J253,"0"),Weights!$A$14:$A$17,0)),0)/(1+N(N253)/50),1))</f>
        <v/>
      </c>
      <c r="Q253" s="5" t="s">
        <v>42</v>
      </c>
    </row>
    <row r="254" customFormat="false" ht="15" hidden="false" customHeight="false" outlineLevel="0" collapsed="false">
      <c r="A254" s="5" t="n">
        <v>253</v>
      </c>
      <c r="B254" s="5" t="s">
        <v>327</v>
      </c>
      <c r="C254" s="5" t="s">
        <v>35</v>
      </c>
      <c r="D254" s="5" t="s">
        <v>36</v>
      </c>
      <c r="E254" s="5" t="s">
        <v>37</v>
      </c>
      <c r="F254" s="5" t="s">
        <v>328</v>
      </c>
      <c r="G254" s="5" t="s">
        <v>39</v>
      </c>
      <c r="H254" s="5" t="s">
        <v>40</v>
      </c>
      <c r="I254" s="5" t="s">
        <v>41</v>
      </c>
      <c r="J254" s="5" t="n">
        <v>1</v>
      </c>
      <c r="K254" s="5"/>
      <c r="L254" s="6"/>
      <c r="M254" s="6"/>
      <c r="N254" s="6"/>
      <c r="O254" s="6"/>
      <c r="P254" s="5" t="str">
        <f aca="false">IF(M254="","",ROUND(M254*IFERROR(INDEX(Weights!$B$2:$B$4,MATCH(G254,Weights!$A$2:$A$4,0)),0)*IFERROR(INDEX(Weights!$B$7:$B$11,MATCH(E254,Weights!$A$7:$A$11,0)),0)*IFERROR(INDEX(Weights!$B$14:$B$17,MATCH(TEXT(J254,"0"),Weights!$A$14:$A$17,0)),0)/(1+N(N254)/50),1))</f>
        <v/>
      </c>
      <c r="Q254" s="5" t="s">
        <v>42</v>
      </c>
    </row>
    <row r="255" customFormat="false" ht="15" hidden="false" customHeight="false" outlineLevel="0" collapsed="false">
      <c r="A255" s="5" t="n">
        <v>254</v>
      </c>
      <c r="B255" s="5" t="s">
        <v>329</v>
      </c>
      <c r="C255" s="5" t="s">
        <v>35</v>
      </c>
      <c r="D255" s="5" t="s">
        <v>36</v>
      </c>
      <c r="E255" s="5" t="s">
        <v>37</v>
      </c>
      <c r="F255" s="5" t="s">
        <v>328</v>
      </c>
      <c r="G255" s="5" t="s">
        <v>39</v>
      </c>
      <c r="H255" s="5" t="s">
        <v>40</v>
      </c>
      <c r="I255" s="5" t="s">
        <v>44</v>
      </c>
      <c r="J255" s="5" t="n">
        <v>1</v>
      </c>
      <c r="K255" s="5"/>
      <c r="L255" s="6"/>
      <c r="M255" s="6"/>
      <c r="N255" s="6"/>
      <c r="O255" s="6"/>
      <c r="P255" s="5" t="str">
        <f aca="false">IF(M255="","",ROUND(M255*IFERROR(INDEX(Weights!$B$2:$B$4,MATCH(G255,Weights!$A$2:$A$4,0)),0)*IFERROR(INDEX(Weights!$B$7:$B$11,MATCH(E255,Weights!$A$7:$A$11,0)),0)*IFERROR(INDEX(Weights!$B$14:$B$17,MATCH(TEXT(J255,"0"),Weights!$A$14:$A$17,0)),0)/(1+N(N255)/50),1))</f>
        <v/>
      </c>
      <c r="Q255" s="5" t="s">
        <v>42</v>
      </c>
    </row>
    <row r="256" customFormat="false" ht="15" hidden="false" customHeight="false" outlineLevel="0" collapsed="false">
      <c r="A256" s="5" t="n">
        <v>255</v>
      </c>
      <c r="B256" s="5" t="s">
        <v>330</v>
      </c>
      <c r="C256" s="5" t="s">
        <v>35</v>
      </c>
      <c r="D256" s="5" t="s">
        <v>36</v>
      </c>
      <c r="E256" s="5" t="s">
        <v>37</v>
      </c>
      <c r="F256" s="5" t="s">
        <v>328</v>
      </c>
      <c r="G256" s="5" t="s">
        <v>39</v>
      </c>
      <c r="H256" s="5" t="s">
        <v>40</v>
      </c>
      <c r="I256" s="5" t="s">
        <v>44</v>
      </c>
      <c r="J256" s="5" t="n">
        <v>1</v>
      </c>
      <c r="K256" s="5"/>
      <c r="L256" s="6"/>
      <c r="M256" s="6"/>
      <c r="N256" s="6"/>
      <c r="O256" s="6"/>
      <c r="P256" s="5" t="str">
        <f aca="false">IF(M256="","",ROUND(M256*IFERROR(INDEX(Weights!$B$2:$B$4,MATCH(G256,Weights!$A$2:$A$4,0)),0)*IFERROR(INDEX(Weights!$B$7:$B$11,MATCH(E256,Weights!$A$7:$A$11,0)),0)*IFERROR(INDEX(Weights!$B$14:$B$17,MATCH(TEXT(J256,"0"),Weights!$A$14:$A$17,0)),0)/(1+N(N256)/50),1))</f>
        <v/>
      </c>
      <c r="Q256" s="5" t="s">
        <v>42</v>
      </c>
    </row>
    <row r="257" customFormat="false" ht="15" hidden="false" customHeight="false" outlineLevel="0" collapsed="false">
      <c r="A257" s="5" t="n">
        <v>256</v>
      </c>
      <c r="B257" s="5" t="s">
        <v>331</v>
      </c>
      <c r="C257" s="5" t="s">
        <v>47</v>
      </c>
      <c r="D257" s="5" t="s">
        <v>36</v>
      </c>
      <c r="E257" s="5" t="s">
        <v>37</v>
      </c>
      <c r="F257" s="5" t="s">
        <v>328</v>
      </c>
      <c r="G257" s="5" t="s">
        <v>39</v>
      </c>
      <c r="H257" s="5" t="s">
        <v>40</v>
      </c>
      <c r="I257" s="5" t="s">
        <v>48</v>
      </c>
      <c r="J257" s="5" t="n">
        <v>1</v>
      </c>
      <c r="K257" s="5"/>
      <c r="L257" s="6"/>
      <c r="M257" s="6"/>
      <c r="N257" s="6"/>
      <c r="O257" s="6"/>
      <c r="P257" s="5" t="str">
        <f aca="false">IF(M257="","",ROUND(M257*IFERROR(INDEX(Weights!$B$2:$B$4,MATCH(G257,Weights!$A$2:$A$4,0)),0)*IFERROR(INDEX(Weights!$B$7:$B$11,MATCH(E257,Weights!$A$7:$A$11,0)),0)*IFERROR(INDEX(Weights!$B$14:$B$17,MATCH(TEXT(J257,"0"),Weights!$A$14:$A$17,0)),0)/(1+N(N257)/50),1))</f>
        <v/>
      </c>
      <c r="Q257" s="5" t="s">
        <v>42</v>
      </c>
    </row>
    <row r="258" customFormat="false" ht="15" hidden="false" customHeight="false" outlineLevel="0" collapsed="false">
      <c r="A258" s="5" t="n">
        <v>257</v>
      </c>
      <c r="B258" s="5" t="s">
        <v>332</v>
      </c>
      <c r="C258" s="5" t="s">
        <v>47</v>
      </c>
      <c r="D258" s="5" t="s">
        <v>36</v>
      </c>
      <c r="E258" s="5" t="s">
        <v>37</v>
      </c>
      <c r="F258" s="5" t="s">
        <v>328</v>
      </c>
      <c r="G258" s="5" t="s">
        <v>39</v>
      </c>
      <c r="H258" s="5" t="s">
        <v>40</v>
      </c>
      <c r="I258" s="5" t="s">
        <v>48</v>
      </c>
      <c r="J258" s="5" t="n">
        <v>1</v>
      </c>
      <c r="K258" s="5"/>
      <c r="L258" s="6"/>
      <c r="M258" s="6"/>
      <c r="N258" s="6"/>
      <c r="O258" s="6"/>
      <c r="P258" s="5" t="str">
        <f aca="false">IF(M258="","",ROUND(M258*IFERROR(INDEX(Weights!$B$2:$B$4,MATCH(G258,Weights!$A$2:$A$4,0)),0)*IFERROR(INDEX(Weights!$B$7:$B$11,MATCH(E258,Weights!$A$7:$A$11,0)),0)*IFERROR(INDEX(Weights!$B$14:$B$17,MATCH(TEXT(J258,"0"),Weights!$A$14:$A$17,0)),0)/(1+N(N258)/50),1))</f>
        <v/>
      </c>
      <c r="Q258" s="5" t="s">
        <v>42</v>
      </c>
    </row>
    <row r="259" customFormat="false" ht="15" hidden="false" customHeight="false" outlineLevel="0" collapsed="false">
      <c r="A259" s="5" t="n">
        <v>258</v>
      </c>
      <c r="B259" s="5" t="s">
        <v>333</v>
      </c>
      <c r="C259" s="5" t="s">
        <v>51</v>
      </c>
      <c r="D259" s="5" t="s">
        <v>36</v>
      </c>
      <c r="E259" s="5" t="s">
        <v>37</v>
      </c>
      <c r="F259" s="5" t="s">
        <v>328</v>
      </c>
      <c r="G259" s="5" t="s">
        <v>39</v>
      </c>
      <c r="H259" s="5" t="s">
        <v>40</v>
      </c>
      <c r="I259" s="5" t="s">
        <v>52</v>
      </c>
      <c r="J259" s="5" t="n">
        <v>1</v>
      </c>
      <c r="K259" s="5"/>
      <c r="L259" s="6"/>
      <c r="M259" s="6"/>
      <c r="N259" s="6"/>
      <c r="O259" s="6"/>
      <c r="P259" s="5" t="str">
        <f aca="false">IF(M259="","",ROUND(M259*IFERROR(INDEX(Weights!$B$2:$B$4,MATCH(G259,Weights!$A$2:$A$4,0)),0)*IFERROR(INDEX(Weights!$B$7:$B$11,MATCH(E259,Weights!$A$7:$A$11,0)),0)*IFERROR(INDEX(Weights!$B$14:$B$17,MATCH(TEXT(J259,"0"),Weights!$A$14:$A$17,0)),0)/(1+N(N259)/50),1))</f>
        <v/>
      </c>
      <c r="Q259" s="5" t="s">
        <v>42</v>
      </c>
    </row>
    <row r="260" customFormat="false" ht="15" hidden="false" customHeight="false" outlineLevel="0" collapsed="false">
      <c r="A260" s="5" t="n">
        <v>259</v>
      </c>
      <c r="B260" s="5" t="s">
        <v>334</v>
      </c>
      <c r="C260" s="5" t="s">
        <v>54</v>
      </c>
      <c r="D260" s="5" t="s">
        <v>36</v>
      </c>
      <c r="E260" s="5" t="s">
        <v>37</v>
      </c>
      <c r="F260" s="5" t="s">
        <v>328</v>
      </c>
      <c r="G260" s="5" t="s">
        <v>39</v>
      </c>
      <c r="H260" s="5" t="s">
        <v>40</v>
      </c>
      <c r="I260" s="5" t="s">
        <v>55</v>
      </c>
      <c r="J260" s="5" t="n">
        <v>1</v>
      </c>
      <c r="K260" s="5"/>
      <c r="L260" s="6"/>
      <c r="M260" s="6"/>
      <c r="N260" s="6"/>
      <c r="O260" s="6"/>
      <c r="P260" s="5" t="str">
        <f aca="false">IF(M260="","",ROUND(M260*IFERROR(INDEX(Weights!$B$2:$B$4,MATCH(G260,Weights!$A$2:$A$4,0)),0)*IFERROR(INDEX(Weights!$B$7:$B$11,MATCH(E260,Weights!$A$7:$A$11,0)),0)*IFERROR(INDEX(Weights!$B$14:$B$17,MATCH(TEXT(J260,"0"),Weights!$A$14:$A$17,0)),0)/(1+N(N260)/50),1))</f>
        <v/>
      </c>
      <c r="Q260" s="5" t="s">
        <v>42</v>
      </c>
    </row>
    <row r="261" customFormat="false" ht="15" hidden="false" customHeight="false" outlineLevel="0" collapsed="false">
      <c r="A261" s="5" t="n">
        <v>260</v>
      </c>
      <c r="B261" s="5" t="s">
        <v>335</v>
      </c>
      <c r="C261" s="5" t="s">
        <v>57</v>
      </c>
      <c r="D261" s="5" t="s">
        <v>36</v>
      </c>
      <c r="E261" s="5" t="s">
        <v>37</v>
      </c>
      <c r="F261" s="5" t="s">
        <v>328</v>
      </c>
      <c r="G261" s="5" t="s">
        <v>39</v>
      </c>
      <c r="H261" s="5" t="s">
        <v>40</v>
      </c>
      <c r="I261" s="5" t="s">
        <v>58</v>
      </c>
      <c r="J261" s="5" t="n">
        <v>1</v>
      </c>
      <c r="K261" s="5"/>
      <c r="L261" s="6"/>
      <c r="M261" s="6"/>
      <c r="N261" s="6"/>
      <c r="O261" s="6"/>
      <c r="P261" s="5" t="str">
        <f aca="false">IF(M261="","",ROUND(M261*IFERROR(INDEX(Weights!$B$2:$B$4,MATCH(G261,Weights!$A$2:$A$4,0)),0)*IFERROR(INDEX(Weights!$B$7:$B$11,MATCH(E261,Weights!$A$7:$A$11,0)),0)*IFERROR(INDEX(Weights!$B$14:$B$17,MATCH(TEXT(J261,"0"),Weights!$A$14:$A$17,0)),0)/(1+N(N261)/50),1))</f>
        <v/>
      </c>
      <c r="Q261" s="5" t="s">
        <v>42</v>
      </c>
    </row>
    <row r="262" customFormat="false" ht="15" hidden="false" customHeight="false" outlineLevel="0" collapsed="false">
      <c r="A262" s="5" t="n">
        <v>261</v>
      </c>
      <c r="B262" s="5" t="s">
        <v>336</v>
      </c>
      <c r="C262" s="5" t="s">
        <v>57</v>
      </c>
      <c r="D262" s="5" t="s">
        <v>36</v>
      </c>
      <c r="E262" s="5" t="s">
        <v>37</v>
      </c>
      <c r="F262" s="5" t="s">
        <v>328</v>
      </c>
      <c r="G262" s="5" t="s">
        <v>39</v>
      </c>
      <c r="H262" s="5" t="s">
        <v>40</v>
      </c>
      <c r="I262" s="5" t="s">
        <v>58</v>
      </c>
      <c r="J262" s="5" t="n">
        <v>1</v>
      </c>
      <c r="K262" s="5"/>
      <c r="L262" s="6"/>
      <c r="M262" s="6"/>
      <c r="N262" s="6"/>
      <c r="O262" s="6"/>
      <c r="P262" s="5" t="str">
        <f aca="false">IF(M262="","",ROUND(M262*IFERROR(INDEX(Weights!$B$2:$B$4,MATCH(G262,Weights!$A$2:$A$4,0)),0)*IFERROR(INDEX(Weights!$B$7:$B$11,MATCH(E262,Weights!$A$7:$A$11,0)),0)*IFERROR(INDEX(Weights!$B$14:$B$17,MATCH(TEXT(J262,"0"),Weights!$A$14:$A$17,0)),0)/(1+N(N262)/50),1))</f>
        <v/>
      </c>
      <c r="Q262" s="5" t="s">
        <v>42</v>
      </c>
    </row>
    <row r="263" customFormat="false" ht="15" hidden="false" customHeight="false" outlineLevel="0" collapsed="false">
      <c r="A263" s="5" t="n">
        <v>262</v>
      </c>
      <c r="B263" s="5" t="s">
        <v>337</v>
      </c>
      <c r="C263" s="5" t="s">
        <v>61</v>
      </c>
      <c r="D263" s="5" t="s">
        <v>36</v>
      </c>
      <c r="E263" s="5" t="s">
        <v>37</v>
      </c>
      <c r="F263" s="5" t="s">
        <v>328</v>
      </c>
      <c r="G263" s="5" t="s">
        <v>39</v>
      </c>
      <c r="H263" s="5" t="s">
        <v>40</v>
      </c>
      <c r="I263" s="5" t="s">
        <v>62</v>
      </c>
      <c r="J263" s="5" t="n">
        <v>2</v>
      </c>
      <c r="K263" s="5"/>
      <c r="L263" s="6"/>
      <c r="M263" s="6"/>
      <c r="N263" s="6"/>
      <c r="O263" s="6"/>
      <c r="P263" s="5" t="str">
        <f aca="false">IF(M263="","",ROUND(M263*IFERROR(INDEX(Weights!$B$2:$B$4,MATCH(G263,Weights!$A$2:$A$4,0)),0)*IFERROR(INDEX(Weights!$B$7:$B$11,MATCH(E263,Weights!$A$7:$A$11,0)),0)*IFERROR(INDEX(Weights!$B$14:$B$17,MATCH(TEXT(J263,"0"),Weights!$A$14:$A$17,0)),0)/(1+N(N263)/50),1))</f>
        <v/>
      </c>
      <c r="Q263" s="5" t="s">
        <v>42</v>
      </c>
    </row>
    <row r="264" customFormat="false" ht="15" hidden="false" customHeight="false" outlineLevel="0" collapsed="false">
      <c r="A264" s="5" t="n">
        <v>263</v>
      </c>
      <c r="B264" s="5" t="s">
        <v>338</v>
      </c>
      <c r="C264" s="5" t="s">
        <v>64</v>
      </c>
      <c r="D264" s="5" t="s">
        <v>36</v>
      </c>
      <c r="E264" s="5" t="s">
        <v>37</v>
      </c>
      <c r="F264" s="5" t="s">
        <v>328</v>
      </c>
      <c r="G264" s="5" t="s">
        <v>39</v>
      </c>
      <c r="H264" s="5" t="s">
        <v>40</v>
      </c>
      <c r="I264" s="5" t="s">
        <v>64</v>
      </c>
      <c r="J264" s="5" t="n">
        <v>2</v>
      </c>
      <c r="K264" s="5"/>
      <c r="L264" s="6"/>
      <c r="M264" s="6"/>
      <c r="N264" s="6"/>
      <c r="O264" s="6"/>
      <c r="P264" s="5" t="str">
        <f aca="false">IF(M264="","",ROUND(M264*IFERROR(INDEX(Weights!$B$2:$B$4,MATCH(G264,Weights!$A$2:$A$4,0)),0)*IFERROR(INDEX(Weights!$B$7:$B$11,MATCH(E264,Weights!$A$7:$A$11,0)),0)*IFERROR(INDEX(Weights!$B$14:$B$17,MATCH(TEXT(J264,"0"),Weights!$A$14:$A$17,0)),0)/(1+N(N264)/50),1))</f>
        <v/>
      </c>
      <c r="Q264" s="5" t="s">
        <v>42</v>
      </c>
    </row>
    <row r="265" customFormat="false" ht="15" hidden="false" customHeight="false" outlineLevel="0" collapsed="false">
      <c r="A265" s="5" t="n">
        <v>264</v>
      </c>
      <c r="B265" s="5" t="s">
        <v>339</v>
      </c>
      <c r="C265" s="5" t="s">
        <v>66</v>
      </c>
      <c r="D265" s="5" t="s">
        <v>36</v>
      </c>
      <c r="E265" s="5" t="s">
        <v>37</v>
      </c>
      <c r="F265" s="5" t="s">
        <v>328</v>
      </c>
      <c r="G265" s="5" t="s">
        <v>39</v>
      </c>
      <c r="H265" s="5" t="s">
        <v>40</v>
      </c>
      <c r="I265" s="5" t="s">
        <v>67</v>
      </c>
      <c r="J265" s="5" t="n">
        <v>3</v>
      </c>
      <c r="K265" s="5"/>
      <c r="L265" s="6"/>
      <c r="M265" s="6"/>
      <c r="N265" s="6"/>
      <c r="O265" s="6"/>
      <c r="P265" s="5" t="str">
        <f aca="false">IF(M265="","",ROUND(M265*IFERROR(INDEX(Weights!$B$2:$B$4,MATCH(G265,Weights!$A$2:$A$4,0)),0)*IFERROR(INDEX(Weights!$B$7:$B$11,MATCH(E265,Weights!$A$7:$A$11,0)),0)*IFERROR(INDEX(Weights!$B$14:$B$17,MATCH(TEXT(J265,"0"),Weights!$A$14:$A$17,0)),0)/(1+N(N265)/50),1))</f>
        <v/>
      </c>
      <c r="Q265" s="5" t="s">
        <v>42</v>
      </c>
    </row>
    <row r="266" customFormat="false" ht="15" hidden="false" customHeight="false" outlineLevel="0" collapsed="false">
      <c r="A266" s="5" t="n">
        <v>265</v>
      </c>
      <c r="B266" s="5" t="s">
        <v>340</v>
      </c>
      <c r="C266" s="5" t="s">
        <v>69</v>
      </c>
      <c r="D266" s="5" t="s">
        <v>36</v>
      </c>
      <c r="E266" s="5" t="s">
        <v>37</v>
      </c>
      <c r="F266" s="5" t="s">
        <v>328</v>
      </c>
      <c r="G266" s="5" t="s">
        <v>39</v>
      </c>
      <c r="H266" s="5" t="s">
        <v>40</v>
      </c>
      <c r="I266" s="5" t="s">
        <v>70</v>
      </c>
      <c r="J266" s="5" t="n">
        <v>3</v>
      </c>
      <c r="K266" s="5"/>
      <c r="L266" s="6"/>
      <c r="M266" s="6"/>
      <c r="N266" s="6"/>
      <c r="O266" s="6"/>
      <c r="P266" s="5" t="str">
        <f aca="false">IF(M266="","",ROUND(M266*IFERROR(INDEX(Weights!$B$2:$B$4,MATCH(G266,Weights!$A$2:$A$4,0)),0)*IFERROR(INDEX(Weights!$B$7:$B$11,MATCH(E266,Weights!$A$7:$A$11,0)),0)*IFERROR(INDEX(Weights!$B$14:$B$17,MATCH(TEXT(J266,"0"),Weights!$A$14:$A$17,0)),0)/(1+N(N266)/50),1))</f>
        <v/>
      </c>
      <c r="Q266" s="5" t="s">
        <v>42</v>
      </c>
    </row>
    <row r="267" customFormat="false" ht="15" hidden="false" customHeight="false" outlineLevel="0" collapsed="false">
      <c r="A267" s="5" t="n">
        <v>266</v>
      </c>
      <c r="B267" s="5" t="s">
        <v>341</v>
      </c>
      <c r="C267" s="5" t="s">
        <v>69</v>
      </c>
      <c r="D267" s="5" t="s">
        <v>36</v>
      </c>
      <c r="E267" s="5" t="s">
        <v>37</v>
      </c>
      <c r="F267" s="5" t="s">
        <v>328</v>
      </c>
      <c r="G267" s="5" t="s">
        <v>39</v>
      </c>
      <c r="H267" s="5" t="s">
        <v>40</v>
      </c>
      <c r="I267" s="5" t="s">
        <v>70</v>
      </c>
      <c r="J267" s="5" t="n">
        <v>3</v>
      </c>
      <c r="K267" s="5"/>
      <c r="L267" s="6"/>
      <c r="M267" s="6"/>
      <c r="N267" s="6"/>
      <c r="O267" s="6"/>
      <c r="P267" s="5" t="str">
        <f aca="false">IF(M267="","",ROUND(M267*IFERROR(INDEX(Weights!$B$2:$B$4,MATCH(G267,Weights!$A$2:$A$4,0)),0)*IFERROR(INDEX(Weights!$B$7:$B$11,MATCH(E267,Weights!$A$7:$A$11,0)),0)*IFERROR(INDEX(Weights!$B$14:$B$17,MATCH(TEXT(J267,"0"),Weights!$A$14:$A$17,0)),0)/(1+N(N267)/50),1))</f>
        <v/>
      </c>
      <c r="Q267" s="5" t="s">
        <v>42</v>
      </c>
    </row>
    <row r="268" customFormat="false" ht="15" hidden="false" customHeight="false" outlineLevel="0" collapsed="false">
      <c r="A268" s="5" t="n">
        <v>267</v>
      </c>
      <c r="B268" s="5" t="s">
        <v>342</v>
      </c>
      <c r="C268" s="5" t="s">
        <v>64</v>
      </c>
      <c r="D268" s="5" t="s">
        <v>36</v>
      </c>
      <c r="E268" s="5" t="s">
        <v>37</v>
      </c>
      <c r="F268" s="5" t="s">
        <v>328</v>
      </c>
      <c r="G268" s="5" t="s">
        <v>39</v>
      </c>
      <c r="H268" s="5" t="s">
        <v>40</v>
      </c>
      <c r="I268" s="5" t="s">
        <v>64</v>
      </c>
      <c r="J268" s="5" t="n">
        <v>2</v>
      </c>
      <c r="K268" s="5"/>
      <c r="L268" s="6"/>
      <c r="M268" s="6"/>
      <c r="N268" s="6"/>
      <c r="O268" s="6"/>
      <c r="P268" s="5" t="str">
        <f aca="false">IF(M268="","",ROUND(M268*IFERROR(INDEX(Weights!$B$2:$B$4,MATCH(G268,Weights!$A$2:$A$4,0)),0)*IFERROR(INDEX(Weights!$B$7:$B$11,MATCH(E268,Weights!$A$7:$A$11,0)),0)*IFERROR(INDEX(Weights!$B$14:$B$17,MATCH(TEXT(J268,"0"),Weights!$A$14:$A$17,0)),0)/(1+N(N268)/50),1))</f>
        <v/>
      </c>
      <c r="Q268" s="5" t="s">
        <v>42</v>
      </c>
    </row>
    <row r="269" customFormat="false" ht="15" hidden="false" customHeight="false" outlineLevel="0" collapsed="false">
      <c r="A269" s="5" t="n">
        <v>268</v>
      </c>
      <c r="B269" s="5" t="s">
        <v>343</v>
      </c>
      <c r="C269" s="5" t="s">
        <v>74</v>
      </c>
      <c r="D269" s="5" t="s">
        <v>36</v>
      </c>
      <c r="E269" s="5" t="s">
        <v>37</v>
      </c>
      <c r="F269" s="5" t="s">
        <v>328</v>
      </c>
      <c r="G269" s="5" t="s">
        <v>39</v>
      </c>
      <c r="H269" s="5" t="s">
        <v>40</v>
      </c>
      <c r="I269" s="5" t="s">
        <v>75</v>
      </c>
      <c r="J269" s="5" t="n">
        <v>2</v>
      </c>
      <c r="K269" s="5"/>
      <c r="L269" s="6"/>
      <c r="M269" s="6"/>
      <c r="N269" s="6"/>
      <c r="O269" s="6"/>
      <c r="P269" s="5" t="str">
        <f aca="false">IF(M269="","",ROUND(M269*IFERROR(INDEX(Weights!$B$2:$B$4,MATCH(G269,Weights!$A$2:$A$4,0)),0)*IFERROR(INDEX(Weights!$B$7:$B$11,MATCH(E269,Weights!$A$7:$A$11,0)),0)*IFERROR(INDEX(Weights!$B$14:$B$17,MATCH(TEXT(J269,"0"),Weights!$A$14:$A$17,0)),0)/(1+N(N269)/50),1))</f>
        <v/>
      </c>
      <c r="Q269" s="5" t="s">
        <v>42</v>
      </c>
    </row>
    <row r="270" customFormat="false" ht="15" hidden="false" customHeight="false" outlineLevel="0" collapsed="false">
      <c r="A270" s="5" t="n">
        <v>269</v>
      </c>
      <c r="B270" s="5" t="s">
        <v>344</v>
      </c>
      <c r="C270" s="5" t="s">
        <v>74</v>
      </c>
      <c r="D270" s="5" t="s">
        <v>36</v>
      </c>
      <c r="E270" s="5" t="s">
        <v>37</v>
      </c>
      <c r="F270" s="5" t="s">
        <v>328</v>
      </c>
      <c r="G270" s="5" t="s">
        <v>39</v>
      </c>
      <c r="H270" s="5" t="s">
        <v>40</v>
      </c>
      <c r="I270" s="5" t="s">
        <v>75</v>
      </c>
      <c r="J270" s="5" t="n">
        <v>2</v>
      </c>
      <c r="K270" s="5"/>
      <c r="L270" s="6"/>
      <c r="M270" s="6"/>
      <c r="N270" s="6"/>
      <c r="O270" s="6"/>
      <c r="P270" s="5" t="str">
        <f aca="false">IF(M270="","",ROUND(M270*IFERROR(INDEX(Weights!$B$2:$B$4,MATCH(G270,Weights!$A$2:$A$4,0)),0)*IFERROR(INDEX(Weights!$B$7:$B$11,MATCH(E270,Weights!$A$7:$A$11,0)),0)*IFERROR(INDEX(Weights!$B$14:$B$17,MATCH(TEXT(J270,"0"),Weights!$A$14:$A$17,0)),0)/(1+N(N270)/50),1))</f>
        <v/>
      </c>
      <c r="Q270" s="5" t="s">
        <v>42</v>
      </c>
    </row>
    <row r="271" customFormat="false" ht="15" hidden="false" customHeight="false" outlineLevel="0" collapsed="false">
      <c r="A271" s="5" t="n">
        <v>270</v>
      </c>
      <c r="B271" s="5" t="s">
        <v>345</v>
      </c>
      <c r="C271" s="5" t="s">
        <v>78</v>
      </c>
      <c r="D271" s="5" t="s">
        <v>36</v>
      </c>
      <c r="E271" s="5" t="s">
        <v>37</v>
      </c>
      <c r="F271" s="5" t="s">
        <v>328</v>
      </c>
      <c r="G271" s="5" t="s">
        <v>39</v>
      </c>
      <c r="H271" s="5" t="s">
        <v>40</v>
      </c>
      <c r="I271" s="5" t="s">
        <v>79</v>
      </c>
      <c r="J271" s="5" t="n">
        <v>2</v>
      </c>
      <c r="K271" s="5"/>
      <c r="L271" s="6"/>
      <c r="M271" s="6"/>
      <c r="N271" s="6"/>
      <c r="O271" s="6"/>
      <c r="P271" s="5" t="str">
        <f aca="false">IF(M271="","",ROUND(M271*IFERROR(INDEX(Weights!$B$2:$B$4,MATCH(G271,Weights!$A$2:$A$4,0)),0)*IFERROR(INDEX(Weights!$B$7:$B$11,MATCH(E271,Weights!$A$7:$A$11,0)),0)*IFERROR(INDEX(Weights!$B$14:$B$17,MATCH(TEXT(J271,"0"),Weights!$A$14:$A$17,0)),0)/(1+N(N271)/50),1))</f>
        <v/>
      </c>
      <c r="Q271" s="5" t="s">
        <v>42</v>
      </c>
    </row>
    <row r="272" customFormat="false" ht="15" hidden="false" customHeight="false" outlineLevel="0" collapsed="false">
      <c r="A272" s="5" t="n">
        <v>271</v>
      </c>
      <c r="B272" s="5" t="s">
        <v>346</v>
      </c>
      <c r="C272" s="5" t="s">
        <v>35</v>
      </c>
      <c r="D272" s="5" t="s">
        <v>36</v>
      </c>
      <c r="E272" s="5" t="s">
        <v>37</v>
      </c>
      <c r="F272" s="5" t="s">
        <v>347</v>
      </c>
      <c r="G272" s="5" t="s">
        <v>39</v>
      </c>
      <c r="H272" s="5" t="s">
        <v>40</v>
      </c>
      <c r="I272" s="5" t="s">
        <v>41</v>
      </c>
      <c r="J272" s="5" t="n">
        <v>1</v>
      </c>
      <c r="K272" s="5"/>
      <c r="L272" s="6"/>
      <c r="M272" s="6"/>
      <c r="N272" s="6"/>
      <c r="O272" s="6"/>
      <c r="P272" s="5" t="str">
        <f aca="false">IF(M272="","",ROUND(M272*IFERROR(INDEX(Weights!$B$2:$B$4,MATCH(G272,Weights!$A$2:$A$4,0)),0)*IFERROR(INDEX(Weights!$B$7:$B$11,MATCH(E272,Weights!$A$7:$A$11,0)),0)*IFERROR(INDEX(Weights!$B$14:$B$17,MATCH(TEXT(J272,"0"),Weights!$A$14:$A$17,0)),0)/(1+N(N272)/50),1))</f>
        <v/>
      </c>
      <c r="Q272" s="5" t="s">
        <v>42</v>
      </c>
    </row>
    <row r="273" customFormat="false" ht="15" hidden="false" customHeight="false" outlineLevel="0" collapsed="false">
      <c r="A273" s="5" t="n">
        <v>272</v>
      </c>
      <c r="B273" s="5" t="s">
        <v>348</v>
      </c>
      <c r="C273" s="5" t="s">
        <v>35</v>
      </c>
      <c r="D273" s="5" t="s">
        <v>36</v>
      </c>
      <c r="E273" s="5" t="s">
        <v>37</v>
      </c>
      <c r="F273" s="5" t="s">
        <v>347</v>
      </c>
      <c r="G273" s="5" t="s">
        <v>39</v>
      </c>
      <c r="H273" s="5" t="s">
        <v>40</v>
      </c>
      <c r="I273" s="5" t="s">
        <v>44</v>
      </c>
      <c r="J273" s="5" t="n">
        <v>1</v>
      </c>
      <c r="K273" s="5"/>
      <c r="L273" s="6"/>
      <c r="M273" s="6"/>
      <c r="N273" s="6"/>
      <c r="O273" s="6"/>
      <c r="P273" s="5" t="str">
        <f aca="false">IF(M273="","",ROUND(M273*IFERROR(INDEX(Weights!$B$2:$B$4,MATCH(G273,Weights!$A$2:$A$4,0)),0)*IFERROR(INDEX(Weights!$B$7:$B$11,MATCH(E273,Weights!$A$7:$A$11,0)),0)*IFERROR(INDEX(Weights!$B$14:$B$17,MATCH(TEXT(J273,"0"),Weights!$A$14:$A$17,0)),0)/(1+N(N273)/50),1))</f>
        <v/>
      </c>
      <c r="Q273" s="5" t="s">
        <v>42</v>
      </c>
    </row>
    <row r="274" customFormat="false" ht="15" hidden="false" customHeight="false" outlineLevel="0" collapsed="false">
      <c r="A274" s="5" t="n">
        <v>273</v>
      </c>
      <c r="B274" s="5" t="s">
        <v>349</v>
      </c>
      <c r="C274" s="5" t="s">
        <v>35</v>
      </c>
      <c r="D274" s="5" t="s">
        <v>36</v>
      </c>
      <c r="E274" s="5" t="s">
        <v>37</v>
      </c>
      <c r="F274" s="5" t="s">
        <v>347</v>
      </c>
      <c r="G274" s="5" t="s">
        <v>39</v>
      </c>
      <c r="H274" s="5" t="s">
        <v>40</v>
      </c>
      <c r="I274" s="5" t="s">
        <v>44</v>
      </c>
      <c r="J274" s="5" t="n">
        <v>1</v>
      </c>
      <c r="K274" s="5"/>
      <c r="L274" s="6"/>
      <c r="M274" s="6"/>
      <c r="N274" s="6"/>
      <c r="O274" s="6"/>
      <c r="P274" s="5" t="str">
        <f aca="false">IF(M274="","",ROUND(M274*IFERROR(INDEX(Weights!$B$2:$B$4,MATCH(G274,Weights!$A$2:$A$4,0)),0)*IFERROR(INDEX(Weights!$B$7:$B$11,MATCH(E274,Weights!$A$7:$A$11,0)),0)*IFERROR(INDEX(Weights!$B$14:$B$17,MATCH(TEXT(J274,"0"),Weights!$A$14:$A$17,0)),0)/(1+N(N274)/50),1))</f>
        <v/>
      </c>
      <c r="Q274" s="5" t="s">
        <v>42</v>
      </c>
    </row>
    <row r="275" customFormat="false" ht="15" hidden="false" customHeight="false" outlineLevel="0" collapsed="false">
      <c r="A275" s="5" t="n">
        <v>274</v>
      </c>
      <c r="B275" s="5" t="s">
        <v>350</v>
      </c>
      <c r="C275" s="5" t="s">
        <v>47</v>
      </c>
      <c r="D275" s="5" t="s">
        <v>36</v>
      </c>
      <c r="E275" s="5" t="s">
        <v>37</v>
      </c>
      <c r="F275" s="5" t="s">
        <v>347</v>
      </c>
      <c r="G275" s="5" t="s">
        <v>39</v>
      </c>
      <c r="H275" s="5" t="s">
        <v>40</v>
      </c>
      <c r="I275" s="5" t="s">
        <v>48</v>
      </c>
      <c r="J275" s="5" t="n">
        <v>1</v>
      </c>
      <c r="K275" s="5"/>
      <c r="L275" s="6"/>
      <c r="M275" s="6"/>
      <c r="N275" s="6"/>
      <c r="O275" s="6"/>
      <c r="P275" s="5" t="str">
        <f aca="false">IF(M275="","",ROUND(M275*IFERROR(INDEX(Weights!$B$2:$B$4,MATCH(G275,Weights!$A$2:$A$4,0)),0)*IFERROR(INDEX(Weights!$B$7:$B$11,MATCH(E275,Weights!$A$7:$A$11,0)),0)*IFERROR(INDEX(Weights!$B$14:$B$17,MATCH(TEXT(J275,"0"),Weights!$A$14:$A$17,0)),0)/(1+N(N275)/50),1))</f>
        <v/>
      </c>
      <c r="Q275" s="5" t="s">
        <v>42</v>
      </c>
    </row>
    <row r="276" customFormat="false" ht="15" hidden="false" customHeight="false" outlineLevel="0" collapsed="false">
      <c r="A276" s="5" t="n">
        <v>275</v>
      </c>
      <c r="B276" s="5" t="s">
        <v>351</v>
      </c>
      <c r="C276" s="5" t="s">
        <v>47</v>
      </c>
      <c r="D276" s="5" t="s">
        <v>36</v>
      </c>
      <c r="E276" s="5" t="s">
        <v>37</v>
      </c>
      <c r="F276" s="5" t="s">
        <v>347</v>
      </c>
      <c r="G276" s="5" t="s">
        <v>39</v>
      </c>
      <c r="H276" s="5" t="s">
        <v>40</v>
      </c>
      <c r="I276" s="5" t="s">
        <v>48</v>
      </c>
      <c r="J276" s="5" t="n">
        <v>1</v>
      </c>
      <c r="K276" s="5"/>
      <c r="L276" s="6"/>
      <c r="M276" s="6"/>
      <c r="N276" s="6"/>
      <c r="O276" s="6"/>
      <c r="P276" s="5" t="str">
        <f aca="false">IF(M276="","",ROUND(M276*IFERROR(INDEX(Weights!$B$2:$B$4,MATCH(G276,Weights!$A$2:$A$4,0)),0)*IFERROR(INDEX(Weights!$B$7:$B$11,MATCH(E276,Weights!$A$7:$A$11,0)),0)*IFERROR(INDEX(Weights!$B$14:$B$17,MATCH(TEXT(J276,"0"),Weights!$A$14:$A$17,0)),0)/(1+N(N276)/50),1))</f>
        <v/>
      </c>
      <c r="Q276" s="5" t="s">
        <v>42</v>
      </c>
    </row>
    <row r="277" customFormat="false" ht="15" hidden="false" customHeight="false" outlineLevel="0" collapsed="false">
      <c r="A277" s="5" t="n">
        <v>276</v>
      </c>
      <c r="B277" s="5" t="s">
        <v>352</v>
      </c>
      <c r="C277" s="5" t="s">
        <v>51</v>
      </c>
      <c r="D277" s="5" t="s">
        <v>36</v>
      </c>
      <c r="E277" s="5" t="s">
        <v>37</v>
      </c>
      <c r="F277" s="5" t="s">
        <v>347</v>
      </c>
      <c r="G277" s="5" t="s">
        <v>39</v>
      </c>
      <c r="H277" s="5" t="s">
        <v>40</v>
      </c>
      <c r="I277" s="5" t="s">
        <v>52</v>
      </c>
      <c r="J277" s="5" t="n">
        <v>1</v>
      </c>
      <c r="K277" s="5"/>
      <c r="L277" s="6"/>
      <c r="M277" s="6"/>
      <c r="N277" s="6"/>
      <c r="O277" s="6"/>
      <c r="P277" s="5" t="str">
        <f aca="false">IF(M277="","",ROUND(M277*IFERROR(INDEX(Weights!$B$2:$B$4,MATCH(G277,Weights!$A$2:$A$4,0)),0)*IFERROR(INDEX(Weights!$B$7:$B$11,MATCH(E277,Weights!$A$7:$A$11,0)),0)*IFERROR(INDEX(Weights!$B$14:$B$17,MATCH(TEXT(J277,"0"),Weights!$A$14:$A$17,0)),0)/(1+N(N277)/50),1))</f>
        <v/>
      </c>
      <c r="Q277" s="5" t="s">
        <v>42</v>
      </c>
    </row>
    <row r="278" customFormat="false" ht="15" hidden="false" customHeight="false" outlineLevel="0" collapsed="false">
      <c r="A278" s="5" t="n">
        <v>277</v>
      </c>
      <c r="B278" s="5" t="s">
        <v>353</v>
      </c>
      <c r="C278" s="5" t="s">
        <v>54</v>
      </c>
      <c r="D278" s="5" t="s">
        <v>36</v>
      </c>
      <c r="E278" s="5" t="s">
        <v>37</v>
      </c>
      <c r="F278" s="5" t="s">
        <v>347</v>
      </c>
      <c r="G278" s="5" t="s">
        <v>39</v>
      </c>
      <c r="H278" s="5" t="s">
        <v>40</v>
      </c>
      <c r="I278" s="5" t="s">
        <v>55</v>
      </c>
      <c r="J278" s="5" t="n">
        <v>1</v>
      </c>
      <c r="K278" s="5"/>
      <c r="L278" s="6"/>
      <c r="M278" s="6"/>
      <c r="N278" s="6"/>
      <c r="O278" s="6"/>
      <c r="P278" s="5" t="str">
        <f aca="false">IF(M278="","",ROUND(M278*IFERROR(INDEX(Weights!$B$2:$B$4,MATCH(G278,Weights!$A$2:$A$4,0)),0)*IFERROR(INDEX(Weights!$B$7:$B$11,MATCH(E278,Weights!$A$7:$A$11,0)),0)*IFERROR(INDEX(Weights!$B$14:$B$17,MATCH(TEXT(J278,"0"),Weights!$A$14:$A$17,0)),0)/(1+N(N278)/50),1))</f>
        <v/>
      </c>
      <c r="Q278" s="5" t="s">
        <v>42</v>
      </c>
    </row>
    <row r="279" customFormat="false" ht="15" hidden="false" customHeight="false" outlineLevel="0" collapsed="false">
      <c r="A279" s="5" t="n">
        <v>278</v>
      </c>
      <c r="B279" s="5" t="s">
        <v>354</v>
      </c>
      <c r="C279" s="5" t="s">
        <v>57</v>
      </c>
      <c r="D279" s="5" t="s">
        <v>36</v>
      </c>
      <c r="E279" s="5" t="s">
        <v>37</v>
      </c>
      <c r="F279" s="5" t="s">
        <v>347</v>
      </c>
      <c r="G279" s="5" t="s">
        <v>39</v>
      </c>
      <c r="H279" s="5" t="s">
        <v>40</v>
      </c>
      <c r="I279" s="5" t="s">
        <v>58</v>
      </c>
      <c r="J279" s="5" t="n">
        <v>1</v>
      </c>
      <c r="K279" s="5"/>
      <c r="L279" s="6"/>
      <c r="M279" s="6"/>
      <c r="N279" s="6"/>
      <c r="O279" s="6"/>
      <c r="P279" s="5" t="str">
        <f aca="false">IF(M279="","",ROUND(M279*IFERROR(INDEX(Weights!$B$2:$B$4,MATCH(G279,Weights!$A$2:$A$4,0)),0)*IFERROR(INDEX(Weights!$B$7:$B$11,MATCH(E279,Weights!$A$7:$A$11,0)),0)*IFERROR(INDEX(Weights!$B$14:$B$17,MATCH(TEXT(J279,"0"),Weights!$A$14:$A$17,0)),0)/(1+N(N279)/50),1))</f>
        <v/>
      </c>
      <c r="Q279" s="5" t="s">
        <v>42</v>
      </c>
    </row>
    <row r="280" customFormat="false" ht="15" hidden="false" customHeight="false" outlineLevel="0" collapsed="false">
      <c r="A280" s="5" t="n">
        <v>279</v>
      </c>
      <c r="B280" s="5" t="s">
        <v>355</v>
      </c>
      <c r="C280" s="5" t="s">
        <v>57</v>
      </c>
      <c r="D280" s="5" t="s">
        <v>36</v>
      </c>
      <c r="E280" s="5" t="s">
        <v>37</v>
      </c>
      <c r="F280" s="5" t="s">
        <v>347</v>
      </c>
      <c r="G280" s="5" t="s">
        <v>39</v>
      </c>
      <c r="H280" s="5" t="s">
        <v>40</v>
      </c>
      <c r="I280" s="5" t="s">
        <v>58</v>
      </c>
      <c r="J280" s="5" t="n">
        <v>1</v>
      </c>
      <c r="K280" s="5"/>
      <c r="L280" s="6"/>
      <c r="M280" s="6"/>
      <c r="N280" s="6"/>
      <c r="O280" s="6"/>
      <c r="P280" s="5" t="str">
        <f aca="false">IF(M280="","",ROUND(M280*IFERROR(INDEX(Weights!$B$2:$B$4,MATCH(G280,Weights!$A$2:$A$4,0)),0)*IFERROR(INDEX(Weights!$B$7:$B$11,MATCH(E280,Weights!$A$7:$A$11,0)),0)*IFERROR(INDEX(Weights!$B$14:$B$17,MATCH(TEXT(J280,"0"),Weights!$A$14:$A$17,0)),0)/(1+N(N280)/50),1))</f>
        <v/>
      </c>
      <c r="Q280" s="5" t="s">
        <v>42</v>
      </c>
    </row>
    <row r="281" customFormat="false" ht="15" hidden="false" customHeight="false" outlineLevel="0" collapsed="false">
      <c r="A281" s="5" t="n">
        <v>280</v>
      </c>
      <c r="B281" s="5" t="s">
        <v>356</v>
      </c>
      <c r="C281" s="5" t="s">
        <v>61</v>
      </c>
      <c r="D281" s="5" t="s">
        <v>36</v>
      </c>
      <c r="E281" s="5" t="s">
        <v>37</v>
      </c>
      <c r="F281" s="5" t="s">
        <v>347</v>
      </c>
      <c r="G281" s="5" t="s">
        <v>39</v>
      </c>
      <c r="H281" s="5" t="s">
        <v>40</v>
      </c>
      <c r="I281" s="5" t="s">
        <v>62</v>
      </c>
      <c r="J281" s="5" t="n">
        <v>2</v>
      </c>
      <c r="K281" s="5"/>
      <c r="L281" s="6"/>
      <c r="M281" s="6"/>
      <c r="N281" s="6"/>
      <c r="O281" s="6"/>
      <c r="P281" s="5" t="str">
        <f aca="false">IF(M281="","",ROUND(M281*IFERROR(INDEX(Weights!$B$2:$B$4,MATCH(G281,Weights!$A$2:$A$4,0)),0)*IFERROR(INDEX(Weights!$B$7:$B$11,MATCH(E281,Weights!$A$7:$A$11,0)),0)*IFERROR(INDEX(Weights!$B$14:$B$17,MATCH(TEXT(J281,"0"),Weights!$A$14:$A$17,0)),0)/(1+N(N281)/50),1))</f>
        <v/>
      </c>
      <c r="Q281" s="5" t="s">
        <v>42</v>
      </c>
    </row>
    <row r="282" customFormat="false" ht="15" hidden="false" customHeight="false" outlineLevel="0" collapsed="false">
      <c r="A282" s="5" t="n">
        <v>281</v>
      </c>
      <c r="B282" s="5" t="s">
        <v>357</v>
      </c>
      <c r="C282" s="5" t="s">
        <v>64</v>
      </c>
      <c r="D282" s="5" t="s">
        <v>36</v>
      </c>
      <c r="E282" s="5" t="s">
        <v>37</v>
      </c>
      <c r="F282" s="5" t="s">
        <v>347</v>
      </c>
      <c r="G282" s="5" t="s">
        <v>39</v>
      </c>
      <c r="H282" s="5" t="s">
        <v>40</v>
      </c>
      <c r="I282" s="5" t="s">
        <v>64</v>
      </c>
      <c r="J282" s="5" t="n">
        <v>2</v>
      </c>
      <c r="K282" s="5"/>
      <c r="L282" s="6"/>
      <c r="M282" s="6"/>
      <c r="N282" s="6"/>
      <c r="O282" s="6"/>
      <c r="P282" s="5" t="str">
        <f aca="false">IF(M282="","",ROUND(M282*IFERROR(INDEX(Weights!$B$2:$B$4,MATCH(G282,Weights!$A$2:$A$4,0)),0)*IFERROR(INDEX(Weights!$B$7:$B$11,MATCH(E282,Weights!$A$7:$A$11,0)),0)*IFERROR(INDEX(Weights!$B$14:$B$17,MATCH(TEXT(J282,"0"),Weights!$A$14:$A$17,0)),0)/(1+N(N282)/50),1))</f>
        <v/>
      </c>
      <c r="Q282" s="5" t="s">
        <v>42</v>
      </c>
    </row>
    <row r="283" customFormat="false" ht="15" hidden="false" customHeight="false" outlineLevel="0" collapsed="false">
      <c r="A283" s="5" t="n">
        <v>282</v>
      </c>
      <c r="B283" s="5" t="s">
        <v>358</v>
      </c>
      <c r="C283" s="5" t="s">
        <v>66</v>
      </c>
      <c r="D283" s="5" t="s">
        <v>36</v>
      </c>
      <c r="E283" s="5" t="s">
        <v>37</v>
      </c>
      <c r="F283" s="5" t="s">
        <v>347</v>
      </c>
      <c r="G283" s="5" t="s">
        <v>39</v>
      </c>
      <c r="H283" s="5" t="s">
        <v>40</v>
      </c>
      <c r="I283" s="5" t="s">
        <v>67</v>
      </c>
      <c r="J283" s="5" t="n">
        <v>3</v>
      </c>
      <c r="K283" s="5"/>
      <c r="L283" s="6"/>
      <c r="M283" s="6"/>
      <c r="N283" s="6"/>
      <c r="O283" s="6"/>
      <c r="P283" s="5" t="str">
        <f aca="false">IF(M283="","",ROUND(M283*IFERROR(INDEX(Weights!$B$2:$B$4,MATCH(G283,Weights!$A$2:$A$4,0)),0)*IFERROR(INDEX(Weights!$B$7:$B$11,MATCH(E283,Weights!$A$7:$A$11,0)),0)*IFERROR(INDEX(Weights!$B$14:$B$17,MATCH(TEXT(J283,"0"),Weights!$A$14:$A$17,0)),0)/(1+N(N283)/50),1))</f>
        <v/>
      </c>
      <c r="Q283" s="5" t="s">
        <v>42</v>
      </c>
    </row>
    <row r="284" customFormat="false" ht="15" hidden="false" customHeight="false" outlineLevel="0" collapsed="false">
      <c r="A284" s="5" t="n">
        <v>283</v>
      </c>
      <c r="B284" s="5" t="s">
        <v>359</v>
      </c>
      <c r="C284" s="5" t="s">
        <v>69</v>
      </c>
      <c r="D284" s="5" t="s">
        <v>36</v>
      </c>
      <c r="E284" s="5" t="s">
        <v>37</v>
      </c>
      <c r="F284" s="5" t="s">
        <v>347</v>
      </c>
      <c r="G284" s="5" t="s">
        <v>39</v>
      </c>
      <c r="H284" s="5" t="s">
        <v>40</v>
      </c>
      <c r="I284" s="5" t="s">
        <v>70</v>
      </c>
      <c r="J284" s="5" t="n">
        <v>3</v>
      </c>
      <c r="K284" s="5"/>
      <c r="L284" s="6"/>
      <c r="M284" s="6"/>
      <c r="N284" s="6"/>
      <c r="O284" s="6"/>
      <c r="P284" s="5" t="str">
        <f aca="false">IF(M284="","",ROUND(M284*IFERROR(INDEX(Weights!$B$2:$B$4,MATCH(G284,Weights!$A$2:$A$4,0)),0)*IFERROR(INDEX(Weights!$B$7:$B$11,MATCH(E284,Weights!$A$7:$A$11,0)),0)*IFERROR(INDEX(Weights!$B$14:$B$17,MATCH(TEXT(J284,"0"),Weights!$A$14:$A$17,0)),0)/(1+N(N284)/50),1))</f>
        <v/>
      </c>
      <c r="Q284" s="5" t="s">
        <v>42</v>
      </c>
    </row>
    <row r="285" customFormat="false" ht="15" hidden="false" customHeight="false" outlineLevel="0" collapsed="false">
      <c r="A285" s="5" t="n">
        <v>284</v>
      </c>
      <c r="B285" s="5" t="s">
        <v>360</v>
      </c>
      <c r="C285" s="5" t="s">
        <v>69</v>
      </c>
      <c r="D285" s="5" t="s">
        <v>36</v>
      </c>
      <c r="E285" s="5" t="s">
        <v>37</v>
      </c>
      <c r="F285" s="5" t="s">
        <v>347</v>
      </c>
      <c r="G285" s="5" t="s">
        <v>39</v>
      </c>
      <c r="H285" s="5" t="s">
        <v>40</v>
      </c>
      <c r="I285" s="5" t="s">
        <v>70</v>
      </c>
      <c r="J285" s="5" t="n">
        <v>3</v>
      </c>
      <c r="K285" s="5"/>
      <c r="L285" s="6"/>
      <c r="M285" s="6"/>
      <c r="N285" s="6"/>
      <c r="O285" s="6"/>
      <c r="P285" s="5" t="str">
        <f aca="false">IF(M285="","",ROUND(M285*IFERROR(INDEX(Weights!$B$2:$B$4,MATCH(G285,Weights!$A$2:$A$4,0)),0)*IFERROR(INDEX(Weights!$B$7:$B$11,MATCH(E285,Weights!$A$7:$A$11,0)),0)*IFERROR(INDEX(Weights!$B$14:$B$17,MATCH(TEXT(J285,"0"),Weights!$A$14:$A$17,0)),0)/(1+N(N285)/50),1))</f>
        <v/>
      </c>
      <c r="Q285" s="5" t="s">
        <v>42</v>
      </c>
    </row>
    <row r="286" customFormat="false" ht="15" hidden="false" customHeight="false" outlineLevel="0" collapsed="false">
      <c r="A286" s="5" t="n">
        <v>285</v>
      </c>
      <c r="B286" s="5" t="s">
        <v>361</v>
      </c>
      <c r="C286" s="5" t="s">
        <v>64</v>
      </c>
      <c r="D286" s="5" t="s">
        <v>36</v>
      </c>
      <c r="E286" s="5" t="s">
        <v>37</v>
      </c>
      <c r="F286" s="5" t="s">
        <v>347</v>
      </c>
      <c r="G286" s="5" t="s">
        <v>39</v>
      </c>
      <c r="H286" s="5" t="s">
        <v>40</v>
      </c>
      <c r="I286" s="5" t="s">
        <v>64</v>
      </c>
      <c r="J286" s="5" t="n">
        <v>2</v>
      </c>
      <c r="K286" s="5"/>
      <c r="L286" s="6"/>
      <c r="M286" s="6"/>
      <c r="N286" s="6"/>
      <c r="O286" s="6"/>
      <c r="P286" s="5" t="str">
        <f aca="false">IF(M286="","",ROUND(M286*IFERROR(INDEX(Weights!$B$2:$B$4,MATCH(G286,Weights!$A$2:$A$4,0)),0)*IFERROR(INDEX(Weights!$B$7:$B$11,MATCH(E286,Weights!$A$7:$A$11,0)),0)*IFERROR(INDEX(Weights!$B$14:$B$17,MATCH(TEXT(J286,"0"),Weights!$A$14:$A$17,0)),0)/(1+N(N286)/50),1))</f>
        <v/>
      </c>
      <c r="Q286" s="5" t="s">
        <v>42</v>
      </c>
    </row>
    <row r="287" customFormat="false" ht="15" hidden="false" customHeight="false" outlineLevel="0" collapsed="false">
      <c r="A287" s="5" t="n">
        <v>286</v>
      </c>
      <c r="B287" s="5" t="s">
        <v>362</v>
      </c>
      <c r="C287" s="5" t="s">
        <v>74</v>
      </c>
      <c r="D287" s="5" t="s">
        <v>36</v>
      </c>
      <c r="E287" s="5" t="s">
        <v>37</v>
      </c>
      <c r="F287" s="5" t="s">
        <v>347</v>
      </c>
      <c r="G287" s="5" t="s">
        <v>39</v>
      </c>
      <c r="H287" s="5" t="s">
        <v>40</v>
      </c>
      <c r="I287" s="5" t="s">
        <v>75</v>
      </c>
      <c r="J287" s="5" t="n">
        <v>2</v>
      </c>
      <c r="K287" s="5"/>
      <c r="L287" s="6"/>
      <c r="M287" s="6"/>
      <c r="N287" s="6"/>
      <c r="O287" s="6"/>
      <c r="P287" s="5" t="str">
        <f aca="false">IF(M287="","",ROUND(M287*IFERROR(INDEX(Weights!$B$2:$B$4,MATCH(G287,Weights!$A$2:$A$4,0)),0)*IFERROR(INDEX(Weights!$B$7:$B$11,MATCH(E287,Weights!$A$7:$A$11,0)),0)*IFERROR(INDEX(Weights!$B$14:$B$17,MATCH(TEXT(J287,"0"),Weights!$A$14:$A$17,0)),0)/(1+N(N287)/50),1))</f>
        <v/>
      </c>
      <c r="Q287" s="5" t="s">
        <v>42</v>
      </c>
    </row>
    <row r="288" customFormat="false" ht="15" hidden="false" customHeight="false" outlineLevel="0" collapsed="false">
      <c r="A288" s="5" t="n">
        <v>287</v>
      </c>
      <c r="B288" s="5" t="s">
        <v>363</v>
      </c>
      <c r="C288" s="5" t="s">
        <v>74</v>
      </c>
      <c r="D288" s="5" t="s">
        <v>36</v>
      </c>
      <c r="E288" s="5" t="s">
        <v>37</v>
      </c>
      <c r="F288" s="5" t="s">
        <v>347</v>
      </c>
      <c r="G288" s="5" t="s">
        <v>39</v>
      </c>
      <c r="H288" s="5" t="s">
        <v>40</v>
      </c>
      <c r="I288" s="5" t="s">
        <v>75</v>
      </c>
      <c r="J288" s="5" t="n">
        <v>2</v>
      </c>
      <c r="K288" s="5"/>
      <c r="L288" s="6"/>
      <c r="M288" s="6"/>
      <c r="N288" s="6"/>
      <c r="O288" s="6"/>
      <c r="P288" s="5" t="str">
        <f aca="false">IF(M288="","",ROUND(M288*IFERROR(INDEX(Weights!$B$2:$B$4,MATCH(G288,Weights!$A$2:$A$4,0)),0)*IFERROR(INDEX(Weights!$B$7:$B$11,MATCH(E288,Weights!$A$7:$A$11,0)),0)*IFERROR(INDEX(Weights!$B$14:$B$17,MATCH(TEXT(J288,"0"),Weights!$A$14:$A$17,0)),0)/(1+N(N288)/50),1))</f>
        <v/>
      </c>
      <c r="Q288" s="5" t="s">
        <v>42</v>
      </c>
    </row>
    <row r="289" customFormat="false" ht="15" hidden="false" customHeight="false" outlineLevel="0" collapsed="false">
      <c r="A289" s="5" t="n">
        <v>288</v>
      </c>
      <c r="B289" s="5" t="s">
        <v>364</v>
      </c>
      <c r="C289" s="5" t="s">
        <v>78</v>
      </c>
      <c r="D289" s="5" t="s">
        <v>36</v>
      </c>
      <c r="E289" s="5" t="s">
        <v>37</v>
      </c>
      <c r="F289" s="5" t="s">
        <v>347</v>
      </c>
      <c r="G289" s="5" t="s">
        <v>39</v>
      </c>
      <c r="H289" s="5" t="s">
        <v>40</v>
      </c>
      <c r="I289" s="5" t="s">
        <v>79</v>
      </c>
      <c r="J289" s="5" t="n">
        <v>2</v>
      </c>
      <c r="K289" s="5"/>
      <c r="L289" s="6"/>
      <c r="M289" s="6"/>
      <c r="N289" s="6"/>
      <c r="O289" s="6"/>
      <c r="P289" s="5" t="str">
        <f aca="false">IF(M289="","",ROUND(M289*IFERROR(INDEX(Weights!$B$2:$B$4,MATCH(G289,Weights!$A$2:$A$4,0)),0)*IFERROR(INDEX(Weights!$B$7:$B$11,MATCH(E289,Weights!$A$7:$A$11,0)),0)*IFERROR(INDEX(Weights!$B$14:$B$17,MATCH(TEXT(J289,"0"),Weights!$A$14:$A$17,0)),0)/(1+N(N289)/50),1))</f>
        <v/>
      </c>
      <c r="Q289" s="5" t="s">
        <v>42</v>
      </c>
    </row>
    <row r="290" customFormat="false" ht="15" hidden="false" customHeight="false" outlineLevel="0" collapsed="false">
      <c r="A290" s="5" t="n">
        <v>289</v>
      </c>
      <c r="B290" s="5" t="s">
        <v>365</v>
      </c>
      <c r="C290" s="5" t="s">
        <v>35</v>
      </c>
      <c r="D290" s="5" t="s">
        <v>36</v>
      </c>
      <c r="E290" s="5" t="s">
        <v>37</v>
      </c>
      <c r="F290" s="5" t="s">
        <v>366</v>
      </c>
      <c r="G290" s="5" t="s">
        <v>39</v>
      </c>
      <c r="H290" s="5" t="s">
        <v>40</v>
      </c>
      <c r="I290" s="5" t="s">
        <v>41</v>
      </c>
      <c r="J290" s="5" t="n">
        <v>1</v>
      </c>
      <c r="K290" s="5"/>
      <c r="L290" s="6"/>
      <c r="M290" s="6"/>
      <c r="N290" s="6"/>
      <c r="O290" s="6"/>
      <c r="P290" s="5" t="str">
        <f aca="false">IF(M290="","",ROUND(M290*IFERROR(INDEX(Weights!$B$2:$B$4,MATCH(G290,Weights!$A$2:$A$4,0)),0)*IFERROR(INDEX(Weights!$B$7:$B$11,MATCH(E290,Weights!$A$7:$A$11,0)),0)*IFERROR(INDEX(Weights!$B$14:$B$17,MATCH(TEXT(J290,"0"),Weights!$A$14:$A$17,0)),0)/(1+N(N290)/50),1))</f>
        <v/>
      </c>
      <c r="Q290" s="5" t="s">
        <v>42</v>
      </c>
    </row>
    <row r="291" customFormat="false" ht="15" hidden="false" customHeight="false" outlineLevel="0" collapsed="false">
      <c r="A291" s="5" t="n">
        <v>290</v>
      </c>
      <c r="B291" s="5" t="s">
        <v>367</v>
      </c>
      <c r="C291" s="5" t="s">
        <v>35</v>
      </c>
      <c r="D291" s="5" t="s">
        <v>36</v>
      </c>
      <c r="E291" s="5" t="s">
        <v>37</v>
      </c>
      <c r="F291" s="5" t="s">
        <v>366</v>
      </c>
      <c r="G291" s="5" t="s">
        <v>39</v>
      </c>
      <c r="H291" s="5" t="s">
        <v>40</v>
      </c>
      <c r="I291" s="5" t="s">
        <v>44</v>
      </c>
      <c r="J291" s="5" t="n">
        <v>1</v>
      </c>
      <c r="K291" s="5"/>
      <c r="L291" s="6"/>
      <c r="M291" s="6"/>
      <c r="N291" s="6"/>
      <c r="O291" s="6"/>
      <c r="P291" s="5" t="str">
        <f aca="false">IF(M291="","",ROUND(M291*IFERROR(INDEX(Weights!$B$2:$B$4,MATCH(G291,Weights!$A$2:$A$4,0)),0)*IFERROR(INDEX(Weights!$B$7:$B$11,MATCH(E291,Weights!$A$7:$A$11,0)),0)*IFERROR(INDEX(Weights!$B$14:$B$17,MATCH(TEXT(J291,"0"),Weights!$A$14:$A$17,0)),0)/(1+N(N291)/50),1))</f>
        <v/>
      </c>
      <c r="Q291" s="5" t="s">
        <v>42</v>
      </c>
    </row>
    <row r="292" customFormat="false" ht="15" hidden="false" customHeight="false" outlineLevel="0" collapsed="false">
      <c r="A292" s="5" t="n">
        <v>291</v>
      </c>
      <c r="B292" s="5" t="s">
        <v>368</v>
      </c>
      <c r="C292" s="5" t="s">
        <v>35</v>
      </c>
      <c r="D292" s="5" t="s">
        <v>36</v>
      </c>
      <c r="E292" s="5" t="s">
        <v>37</v>
      </c>
      <c r="F292" s="5" t="s">
        <v>366</v>
      </c>
      <c r="G292" s="5" t="s">
        <v>39</v>
      </c>
      <c r="H292" s="5" t="s">
        <v>40</v>
      </c>
      <c r="I292" s="5" t="s">
        <v>44</v>
      </c>
      <c r="J292" s="5" t="n">
        <v>1</v>
      </c>
      <c r="K292" s="5"/>
      <c r="L292" s="6"/>
      <c r="M292" s="6"/>
      <c r="N292" s="6"/>
      <c r="O292" s="6"/>
      <c r="P292" s="5" t="str">
        <f aca="false">IF(M292="","",ROUND(M292*IFERROR(INDEX(Weights!$B$2:$B$4,MATCH(G292,Weights!$A$2:$A$4,0)),0)*IFERROR(INDEX(Weights!$B$7:$B$11,MATCH(E292,Weights!$A$7:$A$11,0)),0)*IFERROR(INDEX(Weights!$B$14:$B$17,MATCH(TEXT(J292,"0"),Weights!$A$14:$A$17,0)),0)/(1+N(N292)/50),1))</f>
        <v/>
      </c>
      <c r="Q292" s="5" t="s">
        <v>42</v>
      </c>
    </row>
    <row r="293" customFormat="false" ht="15" hidden="false" customHeight="false" outlineLevel="0" collapsed="false">
      <c r="A293" s="5" t="n">
        <v>292</v>
      </c>
      <c r="B293" s="5" t="s">
        <v>369</v>
      </c>
      <c r="C293" s="5" t="s">
        <v>47</v>
      </c>
      <c r="D293" s="5" t="s">
        <v>36</v>
      </c>
      <c r="E293" s="5" t="s">
        <v>37</v>
      </c>
      <c r="F293" s="5" t="s">
        <v>366</v>
      </c>
      <c r="G293" s="5" t="s">
        <v>39</v>
      </c>
      <c r="H293" s="5" t="s">
        <v>40</v>
      </c>
      <c r="I293" s="5" t="s">
        <v>48</v>
      </c>
      <c r="J293" s="5" t="n">
        <v>1</v>
      </c>
      <c r="K293" s="5"/>
      <c r="L293" s="6"/>
      <c r="M293" s="6"/>
      <c r="N293" s="6"/>
      <c r="O293" s="6"/>
      <c r="P293" s="5" t="str">
        <f aca="false">IF(M293="","",ROUND(M293*IFERROR(INDEX(Weights!$B$2:$B$4,MATCH(G293,Weights!$A$2:$A$4,0)),0)*IFERROR(INDEX(Weights!$B$7:$B$11,MATCH(E293,Weights!$A$7:$A$11,0)),0)*IFERROR(INDEX(Weights!$B$14:$B$17,MATCH(TEXT(J293,"0"),Weights!$A$14:$A$17,0)),0)/(1+N(N293)/50),1))</f>
        <v/>
      </c>
      <c r="Q293" s="5" t="s">
        <v>42</v>
      </c>
    </row>
    <row r="294" customFormat="false" ht="15" hidden="false" customHeight="false" outlineLevel="0" collapsed="false">
      <c r="A294" s="5" t="n">
        <v>293</v>
      </c>
      <c r="B294" s="5" t="s">
        <v>370</v>
      </c>
      <c r="C294" s="5" t="s">
        <v>47</v>
      </c>
      <c r="D294" s="5" t="s">
        <v>36</v>
      </c>
      <c r="E294" s="5" t="s">
        <v>37</v>
      </c>
      <c r="F294" s="5" t="s">
        <v>366</v>
      </c>
      <c r="G294" s="5" t="s">
        <v>39</v>
      </c>
      <c r="H294" s="5" t="s">
        <v>40</v>
      </c>
      <c r="I294" s="5" t="s">
        <v>48</v>
      </c>
      <c r="J294" s="5" t="n">
        <v>1</v>
      </c>
      <c r="K294" s="5"/>
      <c r="L294" s="6"/>
      <c r="M294" s="6"/>
      <c r="N294" s="6"/>
      <c r="O294" s="6"/>
      <c r="P294" s="5" t="str">
        <f aca="false">IF(M294="","",ROUND(M294*IFERROR(INDEX(Weights!$B$2:$B$4,MATCH(G294,Weights!$A$2:$A$4,0)),0)*IFERROR(INDEX(Weights!$B$7:$B$11,MATCH(E294,Weights!$A$7:$A$11,0)),0)*IFERROR(INDEX(Weights!$B$14:$B$17,MATCH(TEXT(J294,"0"),Weights!$A$14:$A$17,0)),0)/(1+N(N294)/50),1))</f>
        <v/>
      </c>
      <c r="Q294" s="5" t="s">
        <v>42</v>
      </c>
    </row>
    <row r="295" customFormat="false" ht="15" hidden="false" customHeight="false" outlineLevel="0" collapsed="false">
      <c r="A295" s="5" t="n">
        <v>294</v>
      </c>
      <c r="B295" s="5" t="s">
        <v>371</v>
      </c>
      <c r="C295" s="5" t="s">
        <v>51</v>
      </c>
      <c r="D295" s="5" t="s">
        <v>36</v>
      </c>
      <c r="E295" s="5" t="s">
        <v>37</v>
      </c>
      <c r="F295" s="5" t="s">
        <v>366</v>
      </c>
      <c r="G295" s="5" t="s">
        <v>39</v>
      </c>
      <c r="H295" s="5" t="s">
        <v>40</v>
      </c>
      <c r="I295" s="5" t="s">
        <v>52</v>
      </c>
      <c r="J295" s="5" t="n">
        <v>1</v>
      </c>
      <c r="K295" s="5"/>
      <c r="L295" s="6"/>
      <c r="M295" s="6"/>
      <c r="N295" s="6"/>
      <c r="O295" s="6"/>
      <c r="P295" s="5" t="str">
        <f aca="false">IF(M295="","",ROUND(M295*IFERROR(INDEX(Weights!$B$2:$B$4,MATCH(G295,Weights!$A$2:$A$4,0)),0)*IFERROR(INDEX(Weights!$B$7:$B$11,MATCH(E295,Weights!$A$7:$A$11,0)),0)*IFERROR(INDEX(Weights!$B$14:$B$17,MATCH(TEXT(J295,"0"),Weights!$A$14:$A$17,0)),0)/(1+N(N295)/50),1))</f>
        <v/>
      </c>
      <c r="Q295" s="5" t="s">
        <v>42</v>
      </c>
    </row>
    <row r="296" customFormat="false" ht="15" hidden="false" customHeight="false" outlineLevel="0" collapsed="false">
      <c r="A296" s="5" t="n">
        <v>295</v>
      </c>
      <c r="B296" s="5" t="s">
        <v>372</v>
      </c>
      <c r="C296" s="5" t="s">
        <v>54</v>
      </c>
      <c r="D296" s="5" t="s">
        <v>36</v>
      </c>
      <c r="E296" s="5" t="s">
        <v>37</v>
      </c>
      <c r="F296" s="5" t="s">
        <v>366</v>
      </c>
      <c r="G296" s="5" t="s">
        <v>39</v>
      </c>
      <c r="H296" s="5" t="s">
        <v>40</v>
      </c>
      <c r="I296" s="5" t="s">
        <v>55</v>
      </c>
      <c r="J296" s="5" t="n">
        <v>1</v>
      </c>
      <c r="K296" s="5"/>
      <c r="L296" s="6"/>
      <c r="M296" s="6"/>
      <c r="N296" s="6"/>
      <c r="O296" s="6"/>
      <c r="P296" s="5" t="str">
        <f aca="false">IF(M296="","",ROUND(M296*IFERROR(INDEX(Weights!$B$2:$B$4,MATCH(G296,Weights!$A$2:$A$4,0)),0)*IFERROR(INDEX(Weights!$B$7:$B$11,MATCH(E296,Weights!$A$7:$A$11,0)),0)*IFERROR(INDEX(Weights!$B$14:$B$17,MATCH(TEXT(J296,"0"),Weights!$A$14:$A$17,0)),0)/(1+N(N296)/50),1))</f>
        <v/>
      </c>
      <c r="Q296" s="5" t="s">
        <v>42</v>
      </c>
    </row>
    <row r="297" customFormat="false" ht="15" hidden="false" customHeight="false" outlineLevel="0" collapsed="false">
      <c r="A297" s="5" t="n">
        <v>296</v>
      </c>
      <c r="B297" s="5" t="s">
        <v>373</v>
      </c>
      <c r="C297" s="5" t="s">
        <v>57</v>
      </c>
      <c r="D297" s="5" t="s">
        <v>36</v>
      </c>
      <c r="E297" s="5" t="s">
        <v>37</v>
      </c>
      <c r="F297" s="5" t="s">
        <v>366</v>
      </c>
      <c r="G297" s="5" t="s">
        <v>39</v>
      </c>
      <c r="H297" s="5" t="s">
        <v>40</v>
      </c>
      <c r="I297" s="5" t="s">
        <v>58</v>
      </c>
      <c r="J297" s="5" t="n">
        <v>1</v>
      </c>
      <c r="K297" s="5"/>
      <c r="L297" s="6"/>
      <c r="M297" s="6"/>
      <c r="N297" s="6"/>
      <c r="O297" s="6"/>
      <c r="P297" s="5" t="str">
        <f aca="false">IF(M297="","",ROUND(M297*IFERROR(INDEX(Weights!$B$2:$B$4,MATCH(G297,Weights!$A$2:$A$4,0)),0)*IFERROR(INDEX(Weights!$B$7:$B$11,MATCH(E297,Weights!$A$7:$A$11,0)),0)*IFERROR(INDEX(Weights!$B$14:$B$17,MATCH(TEXT(J297,"0"),Weights!$A$14:$A$17,0)),0)/(1+N(N297)/50),1))</f>
        <v/>
      </c>
      <c r="Q297" s="5" t="s">
        <v>42</v>
      </c>
    </row>
    <row r="298" customFormat="false" ht="15" hidden="false" customHeight="false" outlineLevel="0" collapsed="false">
      <c r="A298" s="5" t="n">
        <v>297</v>
      </c>
      <c r="B298" s="5" t="s">
        <v>374</v>
      </c>
      <c r="C298" s="5" t="s">
        <v>57</v>
      </c>
      <c r="D298" s="5" t="s">
        <v>36</v>
      </c>
      <c r="E298" s="5" t="s">
        <v>37</v>
      </c>
      <c r="F298" s="5" t="s">
        <v>366</v>
      </c>
      <c r="G298" s="5" t="s">
        <v>39</v>
      </c>
      <c r="H298" s="5" t="s">
        <v>40</v>
      </c>
      <c r="I298" s="5" t="s">
        <v>58</v>
      </c>
      <c r="J298" s="5" t="n">
        <v>1</v>
      </c>
      <c r="K298" s="5"/>
      <c r="L298" s="6"/>
      <c r="M298" s="6"/>
      <c r="N298" s="6"/>
      <c r="O298" s="6"/>
      <c r="P298" s="5" t="str">
        <f aca="false">IF(M298="","",ROUND(M298*IFERROR(INDEX(Weights!$B$2:$B$4,MATCH(G298,Weights!$A$2:$A$4,0)),0)*IFERROR(INDEX(Weights!$B$7:$B$11,MATCH(E298,Weights!$A$7:$A$11,0)),0)*IFERROR(INDEX(Weights!$B$14:$B$17,MATCH(TEXT(J298,"0"),Weights!$A$14:$A$17,0)),0)/(1+N(N298)/50),1))</f>
        <v/>
      </c>
      <c r="Q298" s="5" t="s">
        <v>42</v>
      </c>
    </row>
    <row r="299" customFormat="false" ht="15" hidden="false" customHeight="false" outlineLevel="0" collapsed="false">
      <c r="A299" s="5" t="n">
        <v>298</v>
      </c>
      <c r="B299" s="5" t="s">
        <v>375</v>
      </c>
      <c r="C299" s="5" t="s">
        <v>61</v>
      </c>
      <c r="D299" s="5" t="s">
        <v>36</v>
      </c>
      <c r="E299" s="5" t="s">
        <v>37</v>
      </c>
      <c r="F299" s="5" t="s">
        <v>366</v>
      </c>
      <c r="G299" s="5" t="s">
        <v>39</v>
      </c>
      <c r="H299" s="5" t="s">
        <v>40</v>
      </c>
      <c r="I299" s="5" t="s">
        <v>62</v>
      </c>
      <c r="J299" s="5" t="n">
        <v>2</v>
      </c>
      <c r="K299" s="5"/>
      <c r="L299" s="6"/>
      <c r="M299" s="6"/>
      <c r="N299" s="6"/>
      <c r="O299" s="6"/>
      <c r="P299" s="5" t="str">
        <f aca="false">IF(M299="","",ROUND(M299*IFERROR(INDEX(Weights!$B$2:$B$4,MATCH(G299,Weights!$A$2:$A$4,0)),0)*IFERROR(INDEX(Weights!$B$7:$B$11,MATCH(E299,Weights!$A$7:$A$11,0)),0)*IFERROR(INDEX(Weights!$B$14:$B$17,MATCH(TEXT(J299,"0"),Weights!$A$14:$A$17,0)),0)/(1+N(N299)/50),1))</f>
        <v/>
      </c>
      <c r="Q299" s="5" t="s">
        <v>42</v>
      </c>
    </row>
    <row r="300" customFormat="false" ht="15" hidden="false" customHeight="false" outlineLevel="0" collapsed="false">
      <c r="A300" s="5" t="n">
        <v>299</v>
      </c>
      <c r="B300" s="5" t="s">
        <v>376</v>
      </c>
      <c r="C300" s="5" t="s">
        <v>64</v>
      </c>
      <c r="D300" s="5" t="s">
        <v>36</v>
      </c>
      <c r="E300" s="5" t="s">
        <v>37</v>
      </c>
      <c r="F300" s="5" t="s">
        <v>366</v>
      </c>
      <c r="G300" s="5" t="s">
        <v>39</v>
      </c>
      <c r="H300" s="5" t="s">
        <v>40</v>
      </c>
      <c r="I300" s="5" t="s">
        <v>64</v>
      </c>
      <c r="J300" s="5" t="n">
        <v>2</v>
      </c>
      <c r="K300" s="5"/>
      <c r="L300" s="6"/>
      <c r="M300" s="6"/>
      <c r="N300" s="6"/>
      <c r="O300" s="6"/>
      <c r="P300" s="5" t="str">
        <f aca="false">IF(M300="","",ROUND(M300*IFERROR(INDEX(Weights!$B$2:$B$4,MATCH(G300,Weights!$A$2:$A$4,0)),0)*IFERROR(INDEX(Weights!$B$7:$B$11,MATCH(E300,Weights!$A$7:$A$11,0)),0)*IFERROR(INDEX(Weights!$B$14:$B$17,MATCH(TEXT(J300,"0"),Weights!$A$14:$A$17,0)),0)/(1+N(N300)/50),1))</f>
        <v/>
      </c>
      <c r="Q300" s="5" t="s">
        <v>42</v>
      </c>
    </row>
    <row r="301" customFormat="false" ht="15" hidden="false" customHeight="false" outlineLevel="0" collapsed="false">
      <c r="A301" s="5" t="n">
        <v>300</v>
      </c>
      <c r="B301" s="5" t="s">
        <v>377</v>
      </c>
      <c r="C301" s="5" t="s">
        <v>66</v>
      </c>
      <c r="D301" s="5" t="s">
        <v>36</v>
      </c>
      <c r="E301" s="5" t="s">
        <v>37</v>
      </c>
      <c r="F301" s="5" t="s">
        <v>366</v>
      </c>
      <c r="G301" s="5" t="s">
        <v>39</v>
      </c>
      <c r="H301" s="5" t="s">
        <v>40</v>
      </c>
      <c r="I301" s="5" t="s">
        <v>67</v>
      </c>
      <c r="J301" s="5" t="n">
        <v>3</v>
      </c>
      <c r="K301" s="5"/>
      <c r="L301" s="6"/>
      <c r="M301" s="6"/>
      <c r="N301" s="6"/>
      <c r="O301" s="6"/>
      <c r="P301" s="5" t="str">
        <f aca="false">IF(M301="","",ROUND(M301*IFERROR(INDEX(Weights!$B$2:$B$4,MATCH(G301,Weights!$A$2:$A$4,0)),0)*IFERROR(INDEX(Weights!$B$7:$B$11,MATCH(E301,Weights!$A$7:$A$11,0)),0)*IFERROR(INDEX(Weights!$B$14:$B$17,MATCH(TEXT(J301,"0"),Weights!$A$14:$A$17,0)),0)/(1+N(N301)/50),1))</f>
        <v/>
      </c>
      <c r="Q301" s="5" t="s">
        <v>42</v>
      </c>
    </row>
    <row r="302" customFormat="false" ht="15" hidden="false" customHeight="false" outlineLevel="0" collapsed="false">
      <c r="A302" s="5" t="n">
        <v>301</v>
      </c>
      <c r="B302" s="5" t="s">
        <v>378</v>
      </c>
      <c r="C302" s="5" t="s">
        <v>69</v>
      </c>
      <c r="D302" s="5" t="s">
        <v>36</v>
      </c>
      <c r="E302" s="5" t="s">
        <v>37</v>
      </c>
      <c r="F302" s="5" t="s">
        <v>366</v>
      </c>
      <c r="G302" s="5" t="s">
        <v>39</v>
      </c>
      <c r="H302" s="5" t="s">
        <v>40</v>
      </c>
      <c r="I302" s="5" t="s">
        <v>70</v>
      </c>
      <c r="J302" s="5" t="n">
        <v>3</v>
      </c>
      <c r="K302" s="5"/>
      <c r="L302" s="6"/>
      <c r="M302" s="6"/>
      <c r="N302" s="6"/>
      <c r="O302" s="6"/>
      <c r="P302" s="5" t="str">
        <f aca="false">IF(M302="","",ROUND(M302*IFERROR(INDEX(Weights!$B$2:$B$4,MATCH(G302,Weights!$A$2:$A$4,0)),0)*IFERROR(INDEX(Weights!$B$7:$B$11,MATCH(E302,Weights!$A$7:$A$11,0)),0)*IFERROR(INDEX(Weights!$B$14:$B$17,MATCH(TEXT(J302,"0"),Weights!$A$14:$A$17,0)),0)/(1+N(N302)/50),1))</f>
        <v/>
      </c>
      <c r="Q302" s="5" t="s">
        <v>42</v>
      </c>
    </row>
    <row r="303" customFormat="false" ht="15" hidden="false" customHeight="false" outlineLevel="0" collapsed="false">
      <c r="A303" s="5" t="n">
        <v>302</v>
      </c>
      <c r="B303" s="5" t="s">
        <v>379</v>
      </c>
      <c r="C303" s="5" t="s">
        <v>69</v>
      </c>
      <c r="D303" s="5" t="s">
        <v>36</v>
      </c>
      <c r="E303" s="5" t="s">
        <v>37</v>
      </c>
      <c r="F303" s="5" t="s">
        <v>366</v>
      </c>
      <c r="G303" s="5" t="s">
        <v>39</v>
      </c>
      <c r="H303" s="5" t="s">
        <v>40</v>
      </c>
      <c r="I303" s="5" t="s">
        <v>70</v>
      </c>
      <c r="J303" s="5" t="n">
        <v>3</v>
      </c>
      <c r="K303" s="5"/>
      <c r="L303" s="6"/>
      <c r="M303" s="6"/>
      <c r="N303" s="6"/>
      <c r="O303" s="6"/>
      <c r="P303" s="5" t="str">
        <f aca="false">IF(M303="","",ROUND(M303*IFERROR(INDEX(Weights!$B$2:$B$4,MATCH(G303,Weights!$A$2:$A$4,0)),0)*IFERROR(INDEX(Weights!$B$7:$B$11,MATCH(E303,Weights!$A$7:$A$11,0)),0)*IFERROR(INDEX(Weights!$B$14:$B$17,MATCH(TEXT(J303,"0"),Weights!$A$14:$A$17,0)),0)/(1+N(N303)/50),1))</f>
        <v/>
      </c>
      <c r="Q303" s="5" t="s">
        <v>42</v>
      </c>
    </row>
    <row r="304" customFormat="false" ht="15" hidden="false" customHeight="false" outlineLevel="0" collapsed="false">
      <c r="A304" s="5" t="n">
        <v>303</v>
      </c>
      <c r="B304" s="5" t="s">
        <v>380</v>
      </c>
      <c r="C304" s="5" t="s">
        <v>64</v>
      </c>
      <c r="D304" s="5" t="s">
        <v>36</v>
      </c>
      <c r="E304" s="5" t="s">
        <v>37</v>
      </c>
      <c r="F304" s="5" t="s">
        <v>366</v>
      </c>
      <c r="G304" s="5" t="s">
        <v>39</v>
      </c>
      <c r="H304" s="5" t="s">
        <v>40</v>
      </c>
      <c r="I304" s="5" t="s">
        <v>64</v>
      </c>
      <c r="J304" s="5" t="n">
        <v>2</v>
      </c>
      <c r="K304" s="5"/>
      <c r="L304" s="6"/>
      <c r="M304" s="6"/>
      <c r="N304" s="6"/>
      <c r="O304" s="6"/>
      <c r="P304" s="5" t="str">
        <f aca="false">IF(M304="","",ROUND(M304*IFERROR(INDEX(Weights!$B$2:$B$4,MATCH(G304,Weights!$A$2:$A$4,0)),0)*IFERROR(INDEX(Weights!$B$7:$B$11,MATCH(E304,Weights!$A$7:$A$11,0)),0)*IFERROR(INDEX(Weights!$B$14:$B$17,MATCH(TEXT(J304,"0"),Weights!$A$14:$A$17,0)),0)/(1+N(N304)/50),1))</f>
        <v/>
      </c>
      <c r="Q304" s="5" t="s">
        <v>42</v>
      </c>
    </row>
    <row r="305" customFormat="false" ht="15" hidden="false" customHeight="false" outlineLevel="0" collapsed="false">
      <c r="A305" s="5" t="n">
        <v>304</v>
      </c>
      <c r="B305" s="5" t="s">
        <v>381</v>
      </c>
      <c r="C305" s="5" t="s">
        <v>74</v>
      </c>
      <c r="D305" s="5" t="s">
        <v>36</v>
      </c>
      <c r="E305" s="5" t="s">
        <v>37</v>
      </c>
      <c r="F305" s="5" t="s">
        <v>366</v>
      </c>
      <c r="G305" s="5" t="s">
        <v>39</v>
      </c>
      <c r="H305" s="5" t="s">
        <v>40</v>
      </c>
      <c r="I305" s="5" t="s">
        <v>75</v>
      </c>
      <c r="J305" s="5" t="n">
        <v>2</v>
      </c>
      <c r="K305" s="5"/>
      <c r="L305" s="6"/>
      <c r="M305" s="6"/>
      <c r="N305" s="6"/>
      <c r="O305" s="6"/>
      <c r="P305" s="5" t="str">
        <f aca="false">IF(M305="","",ROUND(M305*IFERROR(INDEX(Weights!$B$2:$B$4,MATCH(G305,Weights!$A$2:$A$4,0)),0)*IFERROR(INDEX(Weights!$B$7:$B$11,MATCH(E305,Weights!$A$7:$A$11,0)),0)*IFERROR(INDEX(Weights!$B$14:$B$17,MATCH(TEXT(J305,"0"),Weights!$A$14:$A$17,0)),0)/(1+N(N305)/50),1))</f>
        <v/>
      </c>
      <c r="Q305" s="5" t="s">
        <v>42</v>
      </c>
    </row>
    <row r="306" customFormat="false" ht="15" hidden="false" customHeight="false" outlineLevel="0" collapsed="false">
      <c r="A306" s="5" t="n">
        <v>305</v>
      </c>
      <c r="B306" s="5" t="s">
        <v>382</v>
      </c>
      <c r="C306" s="5" t="s">
        <v>74</v>
      </c>
      <c r="D306" s="5" t="s">
        <v>36</v>
      </c>
      <c r="E306" s="5" t="s">
        <v>37</v>
      </c>
      <c r="F306" s="5" t="s">
        <v>366</v>
      </c>
      <c r="G306" s="5" t="s">
        <v>39</v>
      </c>
      <c r="H306" s="5" t="s">
        <v>40</v>
      </c>
      <c r="I306" s="5" t="s">
        <v>75</v>
      </c>
      <c r="J306" s="5" t="n">
        <v>2</v>
      </c>
      <c r="K306" s="5"/>
      <c r="L306" s="6"/>
      <c r="M306" s="6"/>
      <c r="N306" s="6"/>
      <c r="O306" s="6"/>
      <c r="P306" s="5" t="str">
        <f aca="false">IF(M306="","",ROUND(M306*IFERROR(INDEX(Weights!$B$2:$B$4,MATCH(G306,Weights!$A$2:$A$4,0)),0)*IFERROR(INDEX(Weights!$B$7:$B$11,MATCH(E306,Weights!$A$7:$A$11,0)),0)*IFERROR(INDEX(Weights!$B$14:$B$17,MATCH(TEXT(J306,"0"),Weights!$A$14:$A$17,0)),0)/(1+N(N306)/50),1))</f>
        <v/>
      </c>
      <c r="Q306" s="5" t="s">
        <v>42</v>
      </c>
    </row>
    <row r="307" customFormat="false" ht="15" hidden="false" customHeight="false" outlineLevel="0" collapsed="false">
      <c r="A307" s="5" t="n">
        <v>306</v>
      </c>
      <c r="B307" s="5" t="s">
        <v>383</v>
      </c>
      <c r="C307" s="5" t="s">
        <v>78</v>
      </c>
      <c r="D307" s="5" t="s">
        <v>36</v>
      </c>
      <c r="E307" s="5" t="s">
        <v>37</v>
      </c>
      <c r="F307" s="5" t="s">
        <v>366</v>
      </c>
      <c r="G307" s="5" t="s">
        <v>39</v>
      </c>
      <c r="H307" s="5" t="s">
        <v>40</v>
      </c>
      <c r="I307" s="5" t="s">
        <v>79</v>
      </c>
      <c r="J307" s="5" t="n">
        <v>2</v>
      </c>
      <c r="K307" s="5"/>
      <c r="L307" s="6"/>
      <c r="M307" s="6"/>
      <c r="N307" s="6"/>
      <c r="O307" s="6"/>
      <c r="P307" s="5" t="str">
        <f aca="false">IF(M307="","",ROUND(M307*IFERROR(INDEX(Weights!$B$2:$B$4,MATCH(G307,Weights!$A$2:$A$4,0)),0)*IFERROR(INDEX(Weights!$B$7:$B$11,MATCH(E307,Weights!$A$7:$A$11,0)),0)*IFERROR(INDEX(Weights!$B$14:$B$17,MATCH(TEXT(J307,"0"),Weights!$A$14:$A$17,0)),0)/(1+N(N307)/50),1))</f>
        <v/>
      </c>
      <c r="Q307" s="5" t="s">
        <v>42</v>
      </c>
    </row>
    <row r="308" customFormat="false" ht="15" hidden="false" customHeight="false" outlineLevel="0" collapsed="false">
      <c r="A308" s="5" t="n">
        <v>307</v>
      </c>
      <c r="B308" s="5" t="s">
        <v>384</v>
      </c>
      <c r="C308" s="5" t="s">
        <v>35</v>
      </c>
      <c r="D308" s="5" t="s">
        <v>19</v>
      </c>
      <c r="E308" s="5" t="s">
        <v>37</v>
      </c>
      <c r="F308" s="5" t="s">
        <v>385</v>
      </c>
      <c r="G308" s="5" t="s">
        <v>39</v>
      </c>
      <c r="H308" s="5" t="s">
        <v>40</v>
      </c>
      <c r="I308" s="5" t="s">
        <v>386</v>
      </c>
      <c r="J308" s="5" t="n">
        <v>1</v>
      </c>
      <c r="K308" s="5"/>
      <c r="L308" s="6"/>
      <c r="M308" s="6"/>
      <c r="N308" s="6"/>
      <c r="O308" s="6"/>
      <c r="P308" s="5" t="str">
        <f aca="false">IF(M308="","",ROUND(M308*IFERROR(INDEX(Weights!$B$2:$B$4,MATCH(G308,Weights!$A$2:$A$4,0)),0)*IFERROR(INDEX(Weights!$B$7:$B$11,MATCH(E308,Weights!$A$7:$A$11,0)),0)*IFERROR(INDEX(Weights!$B$14:$B$17,MATCH(TEXT(J308,"0"),Weights!$A$14:$A$17,0)),0)/(1+N(N308)/50),1))</f>
        <v/>
      </c>
      <c r="Q308" s="5" t="s">
        <v>42</v>
      </c>
    </row>
    <row r="309" customFormat="false" ht="15" hidden="false" customHeight="false" outlineLevel="0" collapsed="false">
      <c r="A309" s="5" t="n">
        <v>308</v>
      </c>
      <c r="B309" s="5" t="s">
        <v>387</v>
      </c>
      <c r="C309" s="5" t="s">
        <v>35</v>
      </c>
      <c r="D309" s="5" t="s">
        <v>388</v>
      </c>
      <c r="E309" s="5" t="s">
        <v>37</v>
      </c>
      <c r="F309" s="5" t="s">
        <v>385</v>
      </c>
      <c r="G309" s="5" t="s">
        <v>39</v>
      </c>
      <c r="H309" s="5" t="s">
        <v>40</v>
      </c>
      <c r="I309" s="5" t="s">
        <v>386</v>
      </c>
      <c r="J309" s="5" t="n">
        <v>1</v>
      </c>
      <c r="K309" s="5"/>
      <c r="L309" s="6"/>
      <c r="M309" s="6"/>
      <c r="N309" s="6"/>
      <c r="O309" s="6"/>
      <c r="P309" s="5" t="str">
        <f aca="false">IF(M309="","",ROUND(M309*IFERROR(INDEX(Weights!$B$2:$B$4,MATCH(G309,Weights!$A$2:$A$4,0)),0)*IFERROR(INDEX(Weights!$B$7:$B$11,MATCH(E309,Weights!$A$7:$A$11,0)),0)*IFERROR(INDEX(Weights!$B$14:$B$17,MATCH(TEXT(J309,"0"),Weights!$A$14:$A$17,0)),0)/(1+N(N309)/50),1))</f>
        <v/>
      </c>
      <c r="Q309" s="5" t="s">
        <v>42</v>
      </c>
    </row>
    <row r="310" customFormat="false" ht="15" hidden="false" customHeight="false" outlineLevel="0" collapsed="false">
      <c r="A310" s="5" t="n">
        <v>309</v>
      </c>
      <c r="B310" s="5" t="s">
        <v>389</v>
      </c>
      <c r="C310" s="5" t="s">
        <v>35</v>
      </c>
      <c r="D310" s="5" t="s">
        <v>19</v>
      </c>
      <c r="E310" s="5" t="s">
        <v>37</v>
      </c>
      <c r="F310" s="5" t="s">
        <v>385</v>
      </c>
      <c r="G310" s="5" t="s">
        <v>39</v>
      </c>
      <c r="H310" s="5" t="s">
        <v>40</v>
      </c>
      <c r="I310" s="5" t="s">
        <v>386</v>
      </c>
      <c r="J310" s="5" t="n">
        <v>1</v>
      </c>
      <c r="K310" s="5"/>
      <c r="L310" s="6"/>
      <c r="M310" s="6"/>
      <c r="N310" s="6"/>
      <c r="O310" s="6"/>
      <c r="P310" s="5" t="str">
        <f aca="false">IF(M310="","",ROUND(M310*IFERROR(INDEX(Weights!$B$2:$B$4,MATCH(G310,Weights!$A$2:$A$4,0)),0)*IFERROR(INDEX(Weights!$B$7:$B$11,MATCH(E310,Weights!$A$7:$A$11,0)),0)*IFERROR(INDEX(Weights!$B$14:$B$17,MATCH(TEXT(J310,"0"),Weights!$A$14:$A$17,0)),0)/(1+N(N310)/50),1))</f>
        <v/>
      </c>
      <c r="Q310" s="5" t="s">
        <v>42</v>
      </c>
    </row>
    <row r="311" customFormat="false" ht="15" hidden="false" customHeight="false" outlineLevel="0" collapsed="false">
      <c r="A311" s="5" t="n">
        <v>310</v>
      </c>
      <c r="B311" s="5" t="s">
        <v>390</v>
      </c>
      <c r="C311" s="5" t="s">
        <v>35</v>
      </c>
      <c r="D311" s="5" t="s">
        <v>19</v>
      </c>
      <c r="E311" s="5" t="s">
        <v>37</v>
      </c>
      <c r="F311" s="5" t="s">
        <v>385</v>
      </c>
      <c r="G311" s="5" t="s">
        <v>39</v>
      </c>
      <c r="H311" s="5" t="s">
        <v>40</v>
      </c>
      <c r="I311" s="5" t="s">
        <v>386</v>
      </c>
      <c r="J311" s="5" t="n">
        <v>1</v>
      </c>
      <c r="K311" s="5"/>
      <c r="L311" s="6"/>
      <c r="M311" s="6"/>
      <c r="N311" s="6"/>
      <c r="O311" s="6"/>
      <c r="P311" s="5" t="str">
        <f aca="false">IF(M311="","",ROUND(M311*IFERROR(INDEX(Weights!$B$2:$B$4,MATCH(G311,Weights!$A$2:$A$4,0)),0)*IFERROR(INDEX(Weights!$B$7:$B$11,MATCH(E311,Weights!$A$7:$A$11,0)),0)*IFERROR(INDEX(Weights!$B$14:$B$17,MATCH(TEXT(J311,"0"),Weights!$A$14:$A$17,0)),0)/(1+N(N311)/50),1))</f>
        <v/>
      </c>
      <c r="Q311" s="5" t="s">
        <v>42</v>
      </c>
    </row>
    <row r="312" customFormat="false" ht="15" hidden="false" customHeight="false" outlineLevel="0" collapsed="false">
      <c r="A312" s="5" t="n">
        <v>311</v>
      </c>
      <c r="B312" s="5" t="s">
        <v>391</v>
      </c>
      <c r="C312" s="5" t="s">
        <v>35</v>
      </c>
      <c r="D312" s="5" t="s">
        <v>19</v>
      </c>
      <c r="E312" s="5" t="s">
        <v>37</v>
      </c>
      <c r="F312" s="5" t="s">
        <v>385</v>
      </c>
      <c r="G312" s="5" t="s">
        <v>39</v>
      </c>
      <c r="H312" s="5" t="s">
        <v>40</v>
      </c>
      <c r="I312" s="5" t="s">
        <v>386</v>
      </c>
      <c r="J312" s="5" t="n">
        <v>1</v>
      </c>
      <c r="K312" s="5"/>
      <c r="L312" s="6"/>
      <c r="M312" s="6"/>
      <c r="N312" s="6"/>
      <c r="O312" s="6"/>
      <c r="P312" s="5" t="str">
        <f aca="false">IF(M312="","",ROUND(M312*IFERROR(INDEX(Weights!$B$2:$B$4,MATCH(G312,Weights!$A$2:$A$4,0)),0)*IFERROR(INDEX(Weights!$B$7:$B$11,MATCH(E312,Weights!$A$7:$A$11,0)),0)*IFERROR(INDEX(Weights!$B$14:$B$17,MATCH(TEXT(J312,"0"),Weights!$A$14:$A$17,0)),0)/(1+N(N312)/50),1))</f>
        <v/>
      </c>
      <c r="Q312" s="5" t="s">
        <v>42</v>
      </c>
    </row>
    <row r="313" customFormat="false" ht="15" hidden="false" customHeight="false" outlineLevel="0" collapsed="false">
      <c r="A313" s="5" t="n">
        <v>312</v>
      </c>
      <c r="B313" s="5" t="s">
        <v>392</v>
      </c>
      <c r="C313" s="5" t="s">
        <v>35</v>
      </c>
      <c r="D313" s="5" t="s">
        <v>393</v>
      </c>
      <c r="E313" s="5" t="s">
        <v>37</v>
      </c>
      <c r="F313" s="5" t="s">
        <v>385</v>
      </c>
      <c r="G313" s="5" t="s">
        <v>394</v>
      </c>
      <c r="H313" s="5" t="s">
        <v>395</v>
      </c>
      <c r="I313" s="5" t="s">
        <v>396</v>
      </c>
      <c r="J313" s="5" t="n">
        <v>1</v>
      </c>
      <c r="K313" s="5"/>
      <c r="L313" s="6"/>
      <c r="M313" s="6"/>
      <c r="N313" s="6"/>
      <c r="O313" s="6"/>
      <c r="P313" s="5" t="str">
        <f aca="false">IF(M313="","",ROUND(M313*IFERROR(INDEX(Weights!$B$2:$B$4,MATCH(G313,Weights!$A$2:$A$4,0)),0)*IFERROR(INDEX(Weights!$B$7:$B$11,MATCH(E313,Weights!$A$7:$A$11,0)),0)*IFERROR(INDEX(Weights!$B$14:$B$17,MATCH(TEXT(J313,"0"),Weights!$A$14:$A$17,0)),0)/(1+N(N313)/50),1))</f>
        <v/>
      </c>
      <c r="Q313" s="5" t="s">
        <v>42</v>
      </c>
    </row>
    <row r="314" customFormat="false" ht="15" hidden="false" customHeight="false" outlineLevel="0" collapsed="false">
      <c r="A314" s="5" t="n">
        <v>313</v>
      </c>
      <c r="B314" s="5" t="s">
        <v>397</v>
      </c>
      <c r="C314" s="5" t="s">
        <v>35</v>
      </c>
      <c r="D314" s="5" t="s">
        <v>393</v>
      </c>
      <c r="E314" s="5" t="s">
        <v>37</v>
      </c>
      <c r="F314" s="5" t="s">
        <v>385</v>
      </c>
      <c r="G314" s="5" t="s">
        <v>394</v>
      </c>
      <c r="H314" s="5" t="s">
        <v>395</v>
      </c>
      <c r="I314" s="5" t="s">
        <v>396</v>
      </c>
      <c r="J314" s="5" t="n">
        <v>1</v>
      </c>
      <c r="K314" s="5"/>
      <c r="L314" s="6"/>
      <c r="M314" s="6"/>
      <c r="N314" s="6"/>
      <c r="O314" s="6"/>
      <c r="P314" s="5" t="str">
        <f aca="false">IF(M314="","",ROUND(M314*IFERROR(INDEX(Weights!$B$2:$B$4,MATCH(G314,Weights!$A$2:$A$4,0)),0)*IFERROR(INDEX(Weights!$B$7:$B$11,MATCH(E314,Weights!$A$7:$A$11,0)),0)*IFERROR(INDEX(Weights!$B$14:$B$17,MATCH(TEXT(J314,"0"),Weights!$A$14:$A$17,0)),0)/(1+N(N314)/50),1))</f>
        <v/>
      </c>
      <c r="Q314" s="5" t="s">
        <v>42</v>
      </c>
    </row>
    <row r="315" customFormat="false" ht="15" hidden="false" customHeight="false" outlineLevel="0" collapsed="false">
      <c r="A315" s="5" t="n">
        <v>314</v>
      </c>
      <c r="B315" s="5" t="s">
        <v>398</v>
      </c>
      <c r="C315" s="5" t="s">
        <v>35</v>
      </c>
      <c r="D315" s="5" t="s">
        <v>399</v>
      </c>
      <c r="E315" s="5" t="s">
        <v>37</v>
      </c>
      <c r="F315" s="5" t="s">
        <v>385</v>
      </c>
      <c r="G315" s="5" t="s">
        <v>394</v>
      </c>
      <c r="H315" s="5" t="s">
        <v>395</v>
      </c>
      <c r="I315" s="5" t="s">
        <v>400</v>
      </c>
      <c r="J315" s="5" t="n">
        <v>1</v>
      </c>
      <c r="K315" s="5"/>
      <c r="L315" s="6"/>
      <c r="M315" s="6"/>
      <c r="N315" s="6"/>
      <c r="O315" s="6"/>
      <c r="P315" s="5" t="str">
        <f aca="false">IF(M315="","",ROUND(M315*IFERROR(INDEX(Weights!$B$2:$B$4,MATCH(G315,Weights!$A$2:$A$4,0)),0)*IFERROR(INDEX(Weights!$B$7:$B$11,MATCH(E315,Weights!$A$7:$A$11,0)),0)*IFERROR(INDEX(Weights!$B$14:$B$17,MATCH(TEXT(J315,"0"),Weights!$A$14:$A$17,0)),0)/(1+N(N315)/50),1))</f>
        <v/>
      </c>
      <c r="Q315" s="5" t="s">
        <v>42</v>
      </c>
    </row>
    <row r="316" customFormat="false" ht="15" hidden="false" customHeight="false" outlineLevel="0" collapsed="false">
      <c r="A316" s="5" t="n">
        <v>315</v>
      </c>
      <c r="B316" s="5" t="s">
        <v>401</v>
      </c>
      <c r="C316" s="5" t="s">
        <v>35</v>
      </c>
      <c r="D316" s="5" t="s">
        <v>399</v>
      </c>
      <c r="E316" s="5" t="s">
        <v>37</v>
      </c>
      <c r="F316" s="5" t="s">
        <v>385</v>
      </c>
      <c r="G316" s="5" t="s">
        <v>394</v>
      </c>
      <c r="H316" s="5" t="s">
        <v>395</v>
      </c>
      <c r="I316" s="5" t="s">
        <v>400</v>
      </c>
      <c r="J316" s="5" t="n">
        <v>1</v>
      </c>
      <c r="K316" s="5"/>
      <c r="L316" s="6"/>
      <c r="M316" s="6"/>
      <c r="N316" s="6"/>
      <c r="O316" s="6"/>
      <c r="P316" s="5" t="str">
        <f aca="false">IF(M316="","",ROUND(M316*IFERROR(INDEX(Weights!$B$2:$B$4,MATCH(G316,Weights!$A$2:$A$4,0)),0)*IFERROR(INDEX(Weights!$B$7:$B$11,MATCH(E316,Weights!$A$7:$A$11,0)),0)*IFERROR(INDEX(Weights!$B$14:$B$17,MATCH(TEXT(J316,"0"),Weights!$A$14:$A$17,0)),0)/(1+N(N316)/50),1))</f>
        <v/>
      </c>
      <c r="Q316" s="5" t="s">
        <v>42</v>
      </c>
    </row>
    <row r="317" customFormat="false" ht="15" hidden="false" customHeight="false" outlineLevel="0" collapsed="false">
      <c r="A317" s="5" t="n">
        <v>316</v>
      </c>
      <c r="B317" s="5" t="s">
        <v>402</v>
      </c>
      <c r="C317" s="5" t="s">
        <v>35</v>
      </c>
      <c r="D317" s="5" t="s">
        <v>403</v>
      </c>
      <c r="E317" s="5" t="s">
        <v>37</v>
      </c>
      <c r="F317" s="5" t="s">
        <v>385</v>
      </c>
      <c r="G317" s="5" t="s">
        <v>404</v>
      </c>
      <c r="H317" s="5" t="s">
        <v>405</v>
      </c>
      <c r="I317" s="5" t="s">
        <v>406</v>
      </c>
      <c r="J317" s="5" t="n">
        <v>2</v>
      </c>
      <c r="K317" s="5"/>
      <c r="L317" s="6"/>
      <c r="M317" s="6"/>
      <c r="N317" s="6"/>
      <c r="O317" s="6"/>
      <c r="P317" s="5" t="str">
        <f aca="false">IF(M317="","",ROUND(M317*IFERROR(INDEX(Weights!$B$2:$B$4,MATCH(G317,Weights!$A$2:$A$4,0)),0)*IFERROR(INDEX(Weights!$B$7:$B$11,MATCH(E317,Weights!$A$7:$A$11,0)),0)*IFERROR(INDEX(Weights!$B$14:$B$17,MATCH(TEXT(J317,"0"),Weights!$A$14:$A$17,0)),0)/(1+N(N317)/50),1))</f>
        <v/>
      </c>
      <c r="Q317" s="5" t="s">
        <v>42</v>
      </c>
    </row>
    <row r="318" customFormat="false" ht="15" hidden="false" customHeight="false" outlineLevel="0" collapsed="false">
      <c r="A318" s="5" t="n">
        <v>317</v>
      </c>
      <c r="B318" s="5" t="s">
        <v>407</v>
      </c>
      <c r="C318" s="5" t="s">
        <v>35</v>
      </c>
      <c r="D318" s="5" t="s">
        <v>403</v>
      </c>
      <c r="E318" s="5" t="s">
        <v>37</v>
      </c>
      <c r="F318" s="5" t="s">
        <v>385</v>
      </c>
      <c r="G318" s="5" t="s">
        <v>404</v>
      </c>
      <c r="H318" s="5" t="s">
        <v>405</v>
      </c>
      <c r="I318" s="5" t="s">
        <v>406</v>
      </c>
      <c r="J318" s="5" t="n">
        <v>2</v>
      </c>
      <c r="K318" s="5"/>
      <c r="L318" s="6"/>
      <c r="M318" s="6"/>
      <c r="N318" s="6"/>
      <c r="O318" s="6"/>
      <c r="P318" s="5" t="str">
        <f aca="false">IF(M318="","",ROUND(M318*IFERROR(INDEX(Weights!$B$2:$B$4,MATCH(G318,Weights!$A$2:$A$4,0)),0)*IFERROR(INDEX(Weights!$B$7:$B$11,MATCH(E318,Weights!$A$7:$A$11,0)),0)*IFERROR(INDEX(Weights!$B$14:$B$17,MATCH(TEXT(J318,"0"),Weights!$A$14:$A$17,0)),0)/(1+N(N318)/50),1))</f>
        <v/>
      </c>
      <c r="Q318" s="5" t="s">
        <v>42</v>
      </c>
    </row>
    <row r="319" customFormat="false" ht="15" hidden="false" customHeight="false" outlineLevel="0" collapsed="false">
      <c r="A319" s="5" t="n">
        <v>318</v>
      </c>
      <c r="B319" s="5" t="s">
        <v>408</v>
      </c>
      <c r="C319" s="5" t="s">
        <v>35</v>
      </c>
      <c r="D319" s="5" t="s">
        <v>403</v>
      </c>
      <c r="E319" s="5" t="s">
        <v>37</v>
      </c>
      <c r="F319" s="5" t="s">
        <v>385</v>
      </c>
      <c r="G319" s="5" t="s">
        <v>404</v>
      </c>
      <c r="H319" s="5" t="s">
        <v>405</v>
      </c>
      <c r="I319" s="5" t="s">
        <v>406</v>
      </c>
      <c r="J319" s="5" t="n">
        <v>2</v>
      </c>
      <c r="K319" s="5"/>
      <c r="L319" s="6"/>
      <c r="M319" s="6"/>
      <c r="N319" s="6"/>
      <c r="O319" s="6"/>
      <c r="P319" s="5" t="str">
        <f aca="false">IF(M319="","",ROUND(M319*IFERROR(INDEX(Weights!$B$2:$B$4,MATCH(G319,Weights!$A$2:$A$4,0)),0)*IFERROR(INDEX(Weights!$B$7:$B$11,MATCH(E319,Weights!$A$7:$A$11,0)),0)*IFERROR(INDEX(Weights!$B$14:$B$17,MATCH(TEXT(J319,"0"),Weights!$A$14:$A$17,0)),0)/(1+N(N319)/50),1))</f>
        <v/>
      </c>
      <c r="Q319" s="5" t="s">
        <v>42</v>
      </c>
    </row>
    <row r="320" customFormat="false" ht="15" hidden="false" customHeight="false" outlineLevel="0" collapsed="false">
      <c r="A320" s="5" t="n">
        <v>319</v>
      </c>
      <c r="B320" s="5" t="s">
        <v>409</v>
      </c>
      <c r="C320" s="5" t="s">
        <v>35</v>
      </c>
      <c r="D320" s="5" t="s">
        <v>403</v>
      </c>
      <c r="E320" s="5" t="s">
        <v>37</v>
      </c>
      <c r="F320" s="5" t="s">
        <v>385</v>
      </c>
      <c r="G320" s="5" t="s">
        <v>404</v>
      </c>
      <c r="H320" s="5" t="s">
        <v>405</v>
      </c>
      <c r="I320" s="5" t="s">
        <v>406</v>
      </c>
      <c r="J320" s="5" t="n">
        <v>2</v>
      </c>
      <c r="K320" s="5"/>
      <c r="L320" s="6"/>
      <c r="M320" s="6"/>
      <c r="N320" s="6"/>
      <c r="O320" s="6"/>
      <c r="P320" s="5" t="str">
        <f aca="false">IF(M320="","",ROUND(M320*IFERROR(INDEX(Weights!$B$2:$B$4,MATCH(G320,Weights!$A$2:$A$4,0)),0)*IFERROR(INDEX(Weights!$B$7:$B$11,MATCH(E320,Weights!$A$7:$A$11,0)),0)*IFERROR(INDEX(Weights!$B$14:$B$17,MATCH(TEXT(J320,"0"),Weights!$A$14:$A$17,0)),0)/(1+N(N320)/50),1))</f>
        <v/>
      </c>
      <c r="Q320" s="5" t="s">
        <v>42</v>
      </c>
    </row>
    <row r="321" customFormat="false" ht="15" hidden="false" customHeight="false" outlineLevel="0" collapsed="false">
      <c r="A321" s="5" t="n">
        <v>320</v>
      </c>
      <c r="B321" s="5" t="s">
        <v>410</v>
      </c>
      <c r="C321" s="5" t="s">
        <v>35</v>
      </c>
      <c r="D321" s="5" t="s">
        <v>393</v>
      </c>
      <c r="E321" s="5" t="s">
        <v>37</v>
      </c>
      <c r="F321" s="5" t="s">
        <v>385</v>
      </c>
      <c r="G321" s="5" t="s">
        <v>394</v>
      </c>
      <c r="H321" s="5" t="s">
        <v>395</v>
      </c>
      <c r="I321" s="5" t="s">
        <v>411</v>
      </c>
      <c r="J321" s="5" t="n">
        <v>2</v>
      </c>
      <c r="K321" s="5"/>
      <c r="L321" s="6"/>
      <c r="M321" s="6"/>
      <c r="N321" s="6"/>
      <c r="O321" s="6"/>
      <c r="P321" s="5" t="str">
        <f aca="false">IF(M321="","",ROUND(M321*IFERROR(INDEX(Weights!$B$2:$B$4,MATCH(G321,Weights!$A$2:$A$4,0)),0)*IFERROR(INDEX(Weights!$B$7:$B$11,MATCH(E321,Weights!$A$7:$A$11,0)),0)*IFERROR(INDEX(Weights!$B$14:$B$17,MATCH(TEXT(J321,"0"),Weights!$A$14:$A$17,0)),0)/(1+N(N321)/50),1))</f>
        <v/>
      </c>
      <c r="Q321" s="5" t="s">
        <v>42</v>
      </c>
    </row>
    <row r="322" customFormat="false" ht="15" hidden="false" customHeight="false" outlineLevel="0" collapsed="false">
      <c r="A322" s="5" t="n">
        <v>321</v>
      </c>
      <c r="B322" s="5" t="s">
        <v>412</v>
      </c>
      <c r="C322" s="5" t="s">
        <v>47</v>
      </c>
      <c r="D322" s="5" t="s">
        <v>19</v>
      </c>
      <c r="E322" s="5" t="s">
        <v>37</v>
      </c>
      <c r="F322" s="5" t="s">
        <v>385</v>
      </c>
      <c r="G322" s="5" t="s">
        <v>39</v>
      </c>
      <c r="H322" s="5" t="s">
        <v>40</v>
      </c>
      <c r="I322" s="5" t="s">
        <v>48</v>
      </c>
      <c r="J322" s="5" t="n">
        <v>1</v>
      </c>
      <c r="K322" s="5"/>
      <c r="L322" s="6"/>
      <c r="M322" s="6"/>
      <c r="N322" s="6"/>
      <c r="O322" s="6"/>
      <c r="P322" s="5" t="str">
        <f aca="false">IF(M322="","",ROUND(M322*IFERROR(INDEX(Weights!$B$2:$B$4,MATCH(G322,Weights!$A$2:$A$4,0)),0)*IFERROR(INDEX(Weights!$B$7:$B$11,MATCH(E322,Weights!$A$7:$A$11,0)),0)*IFERROR(INDEX(Weights!$B$14:$B$17,MATCH(TEXT(J322,"0"),Weights!$A$14:$A$17,0)),0)/(1+N(N322)/50),1))</f>
        <v/>
      </c>
      <c r="Q322" s="5" t="s">
        <v>42</v>
      </c>
    </row>
    <row r="323" customFormat="false" ht="15" hidden="false" customHeight="false" outlineLevel="0" collapsed="false">
      <c r="A323" s="5" t="n">
        <v>322</v>
      </c>
      <c r="B323" s="5" t="s">
        <v>413</v>
      </c>
      <c r="C323" s="5" t="s">
        <v>47</v>
      </c>
      <c r="D323" s="5" t="s">
        <v>19</v>
      </c>
      <c r="E323" s="5" t="s">
        <v>37</v>
      </c>
      <c r="F323" s="5" t="s">
        <v>385</v>
      </c>
      <c r="G323" s="5" t="s">
        <v>39</v>
      </c>
      <c r="H323" s="5" t="s">
        <v>40</v>
      </c>
      <c r="I323" s="5" t="s">
        <v>48</v>
      </c>
      <c r="J323" s="5" t="n">
        <v>1</v>
      </c>
      <c r="K323" s="5"/>
      <c r="L323" s="6"/>
      <c r="M323" s="6"/>
      <c r="N323" s="6"/>
      <c r="O323" s="6"/>
      <c r="P323" s="5" t="str">
        <f aca="false">IF(M323="","",ROUND(M323*IFERROR(INDEX(Weights!$B$2:$B$4,MATCH(G323,Weights!$A$2:$A$4,0)),0)*IFERROR(INDEX(Weights!$B$7:$B$11,MATCH(E323,Weights!$A$7:$A$11,0)),0)*IFERROR(INDEX(Weights!$B$14:$B$17,MATCH(TEXT(J323,"0"),Weights!$A$14:$A$17,0)),0)/(1+N(N323)/50),1))</f>
        <v/>
      </c>
      <c r="Q323" s="5" t="s">
        <v>42</v>
      </c>
    </row>
    <row r="324" customFormat="false" ht="15" hidden="false" customHeight="false" outlineLevel="0" collapsed="false">
      <c r="A324" s="5" t="n">
        <v>323</v>
      </c>
      <c r="B324" s="5" t="s">
        <v>414</v>
      </c>
      <c r="C324" s="5" t="s">
        <v>47</v>
      </c>
      <c r="D324" s="5" t="s">
        <v>388</v>
      </c>
      <c r="E324" s="5" t="s">
        <v>37</v>
      </c>
      <c r="F324" s="5" t="s">
        <v>385</v>
      </c>
      <c r="G324" s="5" t="s">
        <v>39</v>
      </c>
      <c r="H324" s="5" t="s">
        <v>40</v>
      </c>
      <c r="I324" s="5" t="s">
        <v>48</v>
      </c>
      <c r="J324" s="5" t="n">
        <v>1</v>
      </c>
      <c r="K324" s="5"/>
      <c r="L324" s="6"/>
      <c r="M324" s="6"/>
      <c r="N324" s="6"/>
      <c r="O324" s="6"/>
      <c r="P324" s="5" t="str">
        <f aca="false">IF(M324="","",ROUND(M324*IFERROR(INDEX(Weights!$B$2:$B$4,MATCH(G324,Weights!$A$2:$A$4,0)),0)*IFERROR(INDEX(Weights!$B$7:$B$11,MATCH(E324,Weights!$A$7:$A$11,0)),0)*IFERROR(INDEX(Weights!$B$14:$B$17,MATCH(TEXT(J324,"0"),Weights!$A$14:$A$17,0)),0)/(1+N(N324)/50),1))</f>
        <v/>
      </c>
      <c r="Q324" s="5" t="s">
        <v>42</v>
      </c>
    </row>
    <row r="325" customFormat="false" ht="15" hidden="false" customHeight="false" outlineLevel="0" collapsed="false">
      <c r="A325" s="5" t="n">
        <v>324</v>
      </c>
      <c r="B325" s="5" t="s">
        <v>415</v>
      </c>
      <c r="C325" s="5" t="s">
        <v>47</v>
      </c>
      <c r="D325" s="5" t="s">
        <v>399</v>
      </c>
      <c r="E325" s="5" t="s">
        <v>37</v>
      </c>
      <c r="F325" s="5" t="s">
        <v>385</v>
      </c>
      <c r="G325" s="5" t="s">
        <v>394</v>
      </c>
      <c r="H325" s="5" t="s">
        <v>395</v>
      </c>
      <c r="I325" s="5" t="s">
        <v>400</v>
      </c>
      <c r="J325" s="5" t="n">
        <v>1</v>
      </c>
      <c r="K325" s="5"/>
      <c r="L325" s="6"/>
      <c r="M325" s="6"/>
      <c r="N325" s="6"/>
      <c r="O325" s="6"/>
      <c r="P325" s="5" t="str">
        <f aca="false">IF(M325="","",ROUND(M325*IFERROR(INDEX(Weights!$B$2:$B$4,MATCH(G325,Weights!$A$2:$A$4,0)),0)*IFERROR(INDEX(Weights!$B$7:$B$11,MATCH(E325,Weights!$A$7:$A$11,0)),0)*IFERROR(INDEX(Weights!$B$14:$B$17,MATCH(TEXT(J325,"0"),Weights!$A$14:$A$17,0)),0)/(1+N(N325)/50),1))</f>
        <v/>
      </c>
      <c r="Q325" s="5" t="s">
        <v>42</v>
      </c>
    </row>
    <row r="326" customFormat="false" ht="15" hidden="false" customHeight="false" outlineLevel="0" collapsed="false">
      <c r="A326" s="5" t="n">
        <v>325</v>
      </c>
      <c r="B326" s="5" t="s">
        <v>416</v>
      </c>
      <c r="C326" s="5" t="s">
        <v>47</v>
      </c>
      <c r="D326" s="5" t="s">
        <v>403</v>
      </c>
      <c r="E326" s="5" t="s">
        <v>37</v>
      </c>
      <c r="F326" s="5" t="s">
        <v>385</v>
      </c>
      <c r="G326" s="5" t="s">
        <v>404</v>
      </c>
      <c r="H326" s="5" t="s">
        <v>405</v>
      </c>
      <c r="I326" s="5" t="s">
        <v>406</v>
      </c>
      <c r="J326" s="5" t="n">
        <v>2</v>
      </c>
      <c r="K326" s="5"/>
      <c r="L326" s="6"/>
      <c r="M326" s="6"/>
      <c r="N326" s="6"/>
      <c r="O326" s="6"/>
      <c r="P326" s="5" t="str">
        <f aca="false">IF(M326="","",ROUND(M326*IFERROR(INDEX(Weights!$B$2:$B$4,MATCH(G326,Weights!$A$2:$A$4,0)),0)*IFERROR(INDEX(Weights!$B$7:$B$11,MATCH(E326,Weights!$A$7:$A$11,0)),0)*IFERROR(INDEX(Weights!$B$14:$B$17,MATCH(TEXT(J326,"0"),Weights!$A$14:$A$17,0)),0)/(1+N(N326)/50),1))</f>
        <v/>
      </c>
      <c r="Q326" s="5" t="s">
        <v>42</v>
      </c>
    </row>
    <row r="327" customFormat="false" ht="15" hidden="false" customHeight="false" outlineLevel="0" collapsed="false">
      <c r="A327" s="5" t="n">
        <v>326</v>
      </c>
      <c r="B327" s="5" t="s">
        <v>417</v>
      </c>
      <c r="C327" s="5" t="s">
        <v>47</v>
      </c>
      <c r="D327" s="5" t="s">
        <v>403</v>
      </c>
      <c r="E327" s="5" t="s">
        <v>37</v>
      </c>
      <c r="F327" s="5" t="s">
        <v>385</v>
      </c>
      <c r="G327" s="5" t="s">
        <v>404</v>
      </c>
      <c r="H327" s="5" t="s">
        <v>405</v>
      </c>
      <c r="I327" s="5" t="s">
        <v>406</v>
      </c>
      <c r="J327" s="5" t="n">
        <v>2</v>
      </c>
      <c r="K327" s="5"/>
      <c r="L327" s="6"/>
      <c r="M327" s="6"/>
      <c r="N327" s="6"/>
      <c r="O327" s="6"/>
      <c r="P327" s="5" t="str">
        <f aca="false">IF(M327="","",ROUND(M327*IFERROR(INDEX(Weights!$B$2:$B$4,MATCH(G327,Weights!$A$2:$A$4,0)),0)*IFERROR(INDEX(Weights!$B$7:$B$11,MATCH(E327,Weights!$A$7:$A$11,0)),0)*IFERROR(INDEX(Weights!$B$14:$B$17,MATCH(TEXT(J327,"0"),Weights!$A$14:$A$17,0)),0)/(1+N(N327)/50),1))</f>
        <v/>
      </c>
      <c r="Q327" s="5" t="s">
        <v>42</v>
      </c>
    </row>
    <row r="328" customFormat="false" ht="15" hidden="false" customHeight="false" outlineLevel="0" collapsed="false">
      <c r="A328" s="5" t="n">
        <v>327</v>
      </c>
      <c r="B328" s="5" t="s">
        <v>418</v>
      </c>
      <c r="C328" s="5" t="s">
        <v>47</v>
      </c>
      <c r="D328" s="5" t="s">
        <v>419</v>
      </c>
      <c r="E328" s="5" t="s">
        <v>37</v>
      </c>
      <c r="F328" s="5" t="s">
        <v>385</v>
      </c>
      <c r="G328" s="5" t="s">
        <v>404</v>
      </c>
      <c r="H328" s="5" t="s">
        <v>405</v>
      </c>
      <c r="I328" s="5" t="s">
        <v>406</v>
      </c>
      <c r="J328" s="5" t="n">
        <v>2</v>
      </c>
      <c r="K328" s="5"/>
      <c r="L328" s="6"/>
      <c r="M328" s="6"/>
      <c r="N328" s="6"/>
      <c r="O328" s="6"/>
      <c r="P328" s="5" t="str">
        <f aca="false">IF(M328="","",ROUND(M328*IFERROR(INDEX(Weights!$B$2:$B$4,MATCH(G328,Weights!$A$2:$A$4,0)),0)*IFERROR(INDEX(Weights!$B$7:$B$11,MATCH(E328,Weights!$A$7:$A$11,0)),0)*IFERROR(INDEX(Weights!$B$14:$B$17,MATCH(TEXT(J328,"0"),Weights!$A$14:$A$17,0)),0)/(1+N(N328)/50),1))</f>
        <v/>
      </c>
      <c r="Q328" s="5" t="s">
        <v>42</v>
      </c>
    </row>
    <row r="329" customFormat="false" ht="15" hidden="false" customHeight="false" outlineLevel="0" collapsed="false">
      <c r="A329" s="5" t="n">
        <v>328</v>
      </c>
      <c r="B329" s="5" t="s">
        <v>420</v>
      </c>
      <c r="C329" s="5" t="s">
        <v>51</v>
      </c>
      <c r="D329" s="5" t="s">
        <v>19</v>
      </c>
      <c r="E329" s="5" t="s">
        <v>37</v>
      </c>
      <c r="F329" s="5" t="s">
        <v>385</v>
      </c>
      <c r="G329" s="5" t="s">
        <v>39</v>
      </c>
      <c r="H329" s="5" t="s">
        <v>40</v>
      </c>
      <c r="I329" s="5" t="s">
        <v>52</v>
      </c>
      <c r="J329" s="5" t="n">
        <v>1</v>
      </c>
      <c r="K329" s="5"/>
      <c r="L329" s="6"/>
      <c r="M329" s="6"/>
      <c r="N329" s="6"/>
      <c r="O329" s="6"/>
      <c r="P329" s="5" t="str">
        <f aca="false">IF(M329="","",ROUND(M329*IFERROR(INDEX(Weights!$B$2:$B$4,MATCH(G329,Weights!$A$2:$A$4,0)),0)*IFERROR(INDEX(Weights!$B$7:$B$11,MATCH(E329,Weights!$A$7:$A$11,0)),0)*IFERROR(INDEX(Weights!$B$14:$B$17,MATCH(TEXT(J329,"0"),Weights!$A$14:$A$17,0)),0)/(1+N(N329)/50),1))</f>
        <v/>
      </c>
      <c r="Q329" s="5" t="s">
        <v>42</v>
      </c>
    </row>
    <row r="330" customFormat="false" ht="15" hidden="false" customHeight="false" outlineLevel="0" collapsed="false">
      <c r="A330" s="5" t="n">
        <v>329</v>
      </c>
      <c r="B330" s="5" t="s">
        <v>421</v>
      </c>
      <c r="C330" s="5" t="s">
        <v>51</v>
      </c>
      <c r="D330" s="5" t="s">
        <v>19</v>
      </c>
      <c r="E330" s="5" t="s">
        <v>37</v>
      </c>
      <c r="F330" s="5" t="s">
        <v>385</v>
      </c>
      <c r="G330" s="5" t="s">
        <v>39</v>
      </c>
      <c r="H330" s="5" t="s">
        <v>40</v>
      </c>
      <c r="I330" s="5" t="s">
        <v>52</v>
      </c>
      <c r="J330" s="5" t="n">
        <v>1</v>
      </c>
      <c r="K330" s="5"/>
      <c r="L330" s="6"/>
      <c r="M330" s="6"/>
      <c r="N330" s="6"/>
      <c r="O330" s="6"/>
      <c r="P330" s="5" t="str">
        <f aca="false">IF(M330="","",ROUND(M330*IFERROR(INDEX(Weights!$B$2:$B$4,MATCH(G330,Weights!$A$2:$A$4,0)),0)*IFERROR(INDEX(Weights!$B$7:$B$11,MATCH(E330,Weights!$A$7:$A$11,0)),0)*IFERROR(INDEX(Weights!$B$14:$B$17,MATCH(TEXT(J330,"0"),Weights!$A$14:$A$17,0)),0)/(1+N(N330)/50),1))</f>
        <v/>
      </c>
      <c r="Q330" s="5" t="s">
        <v>42</v>
      </c>
    </row>
    <row r="331" customFormat="false" ht="15" hidden="false" customHeight="false" outlineLevel="0" collapsed="false">
      <c r="A331" s="5" t="n">
        <v>330</v>
      </c>
      <c r="B331" s="5" t="s">
        <v>422</v>
      </c>
      <c r="C331" s="5" t="s">
        <v>51</v>
      </c>
      <c r="D331" s="5" t="s">
        <v>19</v>
      </c>
      <c r="E331" s="5" t="s">
        <v>37</v>
      </c>
      <c r="F331" s="5" t="s">
        <v>385</v>
      </c>
      <c r="G331" s="5" t="s">
        <v>39</v>
      </c>
      <c r="H331" s="5" t="s">
        <v>40</v>
      </c>
      <c r="I331" s="5" t="s">
        <v>52</v>
      </c>
      <c r="J331" s="5" t="n">
        <v>1</v>
      </c>
      <c r="K331" s="5"/>
      <c r="L331" s="6"/>
      <c r="M331" s="6"/>
      <c r="N331" s="6"/>
      <c r="O331" s="6"/>
      <c r="P331" s="5" t="str">
        <f aca="false">IF(M331="","",ROUND(M331*IFERROR(INDEX(Weights!$B$2:$B$4,MATCH(G331,Weights!$A$2:$A$4,0)),0)*IFERROR(INDEX(Weights!$B$7:$B$11,MATCH(E331,Weights!$A$7:$A$11,0)),0)*IFERROR(INDEX(Weights!$B$14:$B$17,MATCH(TEXT(J331,"0"),Weights!$A$14:$A$17,0)),0)/(1+N(N331)/50),1))</f>
        <v/>
      </c>
      <c r="Q331" s="5" t="s">
        <v>42</v>
      </c>
    </row>
    <row r="332" customFormat="false" ht="15" hidden="false" customHeight="false" outlineLevel="0" collapsed="false">
      <c r="A332" s="5" t="n">
        <v>331</v>
      </c>
      <c r="B332" s="5" t="s">
        <v>423</v>
      </c>
      <c r="C332" s="5" t="s">
        <v>51</v>
      </c>
      <c r="D332" s="5" t="s">
        <v>419</v>
      </c>
      <c r="E332" s="5" t="s">
        <v>37</v>
      </c>
      <c r="F332" s="5" t="s">
        <v>385</v>
      </c>
      <c r="G332" s="5" t="s">
        <v>404</v>
      </c>
      <c r="H332" s="5" t="s">
        <v>395</v>
      </c>
      <c r="I332" s="5" t="s">
        <v>406</v>
      </c>
      <c r="J332" s="5" t="n">
        <v>2</v>
      </c>
      <c r="K332" s="5"/>
      <c r="L332" s="6"/>
      <c r="M332" s="6"/>
      <c r="N332" s="6"/>
      <c r="O332" s="6"/>
      <c r="P332" s="5" t="str">
        <f aca="false">IF(M332="","",ROUND(M332*IFERROR(INDEX(Weights!$B$2:$B$4,MATCH(G332,Weights!$A$2:$A$4,0)),0)*IFERROR(INDEX(Weights!$B$7:$B$11,MATCH(E332,Weights!$A$7:$A$11,0)),0)*IFERROR(INDEX(Weights!$B$14:$B$17,MATCH(TEXT(J332,"0"),Weights!$A$14:$A$17,0)),0)/(1+N(N332)/50),1))</f>
        <v/>
      </c>
      <c r="Q332" s="5" t="s">
        <v>42</v>
      </c>
    </row>
    <row r="333" customFormat="false" ht="15" hidden="false" customHeight="false" outlineLevel="0" collapsed="false">
      <c r="A333" s="5" t="n">
        <v>332</v>
      </c>
      <c r="B333" s="5" t="s">
        <v>424</v>
      </c>
      <c r="C333" s="5" t="s">
        <v>51</v>
      </c>
      <c r="D333" s="5" t="s">
        <v>399</v>
      </c>
      <c r="E333" s="5" t="s">
        <v>37</v>
      </c>
      <c r="F333" s="5" t="s">
        <v>385</v>
      </c>
      <c r="G333" s="5" t="s">
        <v>394</v>
      </c>
      <c r="H333" s="5" t="s">
        <v>395</v>
      </c>
      <c r="I333" s="5" t="s">
        <v>400</v>
      </c>
      <c r="J333" s="5" t="n">
        <v>1</v>
      </c>
      <c r="K333" s="5"/>
      <c r="L333" s="6"/>
      <c r="M333" s="6"/>
      <c r="N333" s="6"/>
      <c r="O333" s="6"/>
      <c r="P333" s="5" t="str">
        <f aca="false">IF(M333="","",ROUND(M333*IFERROR(INDEX(Weights!$B$2:$B$4,MATCH(G333,Weights!$A$2:$A$4,0)),0)*IFERROR(INDEX(Weights!$B$7:$B$11,MATCH(E333,Weights!$A$7:$A$11,0)),0)*IFERROR(INDEX(Weights!$B$14:$B$17,MATCH(TEXT(J333,"0"),Weights!$A$14:$A$17,0)),0)/(1+N(N333)/50),1))</f>
        <v/>
      </c>
      <c r="Q333" s="5" t="s">
        <v>42</v>
      </c>
    </row>
    <row r="334" customFormat="false" ht="15" hidden="false" customHeight="false" outlineLevel="0" collapsed="false">
      <c r="A334" s="5" t="n">
        <v>333</v>
      </c>
      <c r="B334" s="5" t="s">
        <v>425</v>
      </c>
      <c r="C334" s="5" t="s">
        <v>54</v>
      </c>
      <c r="D334" s="5" t="s">
        <v>19</v>
      </c>
      <c r="E334" s="5" t="s">
        <v>37</v>
      </c>
      <c r="F334" s="5" t="s">
        <v>385</v>
      </c>
      <c r="G334" s="5" t="s">
        <v>39</v>
      </c>
      <c r="H334" s="5" t="s">
        <v>40</v>
      </c>
      <c r="I334" s="5" t="s">
        <v>55</v>
      </c>
      <c r="J334" s="5" t="n">
        <v>1</v>
      </c>
      <c r="K334" s="5"/>
      <c r="L334" s="6"/>
      <c r="M334" s="6"/>
      <c r="N334" s="6"/>
      <c r="O334" s="6"/>
      <c r="P334" s="5" t="str">
        <f aca="false">IF(M334="","",ROUND(M334*IFERROR(INDEX(Weights!$B$2:$B$4,MATCH(G334,Weights!$A$2:$A$4,0)),0)*IFERROR(INDEX(Weights!$B$7:$B$11,MATCH(E334,Weights!$A$7:$A$11,0)),0)*IFERROR(INDEX(Weights!$B$14:$B$17,MATCH(TEXT(J334,"0"),Weights!$A$14:$A$17,0)),0)/(1+N(N334)/50),1))</f>
        <v/>
      </c>
      <c r="Q334" s="5" t="s">
        <v>42</v>
      </c>
    </row>
    <row r="335" customFormat="false" ht="15" hidden="false" customHeight="false" outlineLevel="0" collapsed="false">
      <c r="A335" s="5" t="n">
        <v>334</v>
      </c>
      <c r="B335" s="5" t="s">
        <v>426</v>
      </c>
      <c r="C335" s="5" t="s">
        <v>54</v>
      </c>
      <c r="D335" s="5" t="s">
        <v>19</v>
      </c>
      <c r="E335" s="5" t="s">
        <v>37</v>
      </c>
      <c r="F335" s="5" t="s">
        <v>385</v>
      </c>
      <c r="G335" s="5" t="s">
        <v>39</v>
      </c>
      <c r="H335" s="5" t="s">
        <v>40</v>
      </c>
      <c r="I335" s="5" t="s">
        <v>55</v>
      </c>
      <c r="J335" s="5" t="n">
        <v>1</v>
      </c>
      <c r="K335" s="5"/>
      <c r="L335" s="6"/>
      <c r="M335" s="6"/>
      <c r="N335" s="6"/>
      <c r="O335" s="6"/>
      <c r="P335" s="5" t="str">
        <f aca="false">IF(M335="","",ROUND(M335*IFERROR(INDEX(Weights!$B$2:$B$4,MATCH(G335,Weights!$A$2:$A$4,0)),0)*IFERROR(INDEX(Weights!$B$7:$B$11,MATCH(E335,Weights!$A$7:$A$11,0)),0)*IFERROR(INDEX(Weights!$B$14:$B$17,MATCH(TEXT(J335,"0"),Weights!$A$14:$A$17,0)),0)/(1+N(N335)/50),1))</f>
        <v/>
      </c>
      <c r="Q335" s="5" t="s">
        <v>42</v>
      </c>
    </row>
    <row r="336" customFormat="false" ht="15" hidden="false" customHeight="false" outlineLevel="0" collapsed="false">
      <c r="A336" s="5" t="n">
        <v>335</v>
      </c>
      <c r="B336" s="5" t="s">
        <v>427</v>
      </c>
      <c r="C336" s="5" t="s">
        <v>54</v>
      </c>
      <c r="D336" s="5" t="s">
        <v>19</v>
      </c>
      <c r="E336" s="5" t="s">
        <v>37</v>
      </c>
      <c r="F336" s="5" t="s">
        <v>385</v>
      </c>
      <c r="G336" s="5" t="s">
        <v>39</v>
      </c>
      <c r="H336" s="5" t="s">
        <v>40</v>
      </c>
      <c r="I336" s="5" t="s">
        <v>55</v>
      </c>
      <c r="J336" s="5" t="n">
        <v>1</v>
      </c>
      <c r="K336" s="5"/>
      <c r="L336" s="6"/>
      <c r="M336" s="6"/>
      <c r="N336" s="6"/>
      <c r="O336" s="6"/>
      <c r="P336" s="5" t="str">
        <f aca="false">IF(M336="","",ROUND(M336*IFERROR(INDEX(Weights!$B$2:$B$4,MATCH(G336,Weights!$A$2:$A$4,0)),0)*IFERROR(INDEX(Weights!$B$7:$B$11,MATCH(E336,Weights!$A$7:$A$11,0)),0)*IFERROR(INDEX(Weights!$B$14:$B$17,MATCH(TEXT(J336,"0"),Weights!$A$14:$A$17,0)),0)/(1+N(N336)/50),1))</f>
        <v/>
      </c>
      <c r="Q336" s="5" t="s">
        <v>42</v>
      </c>
    </row>
    <row r="337" customFormat="false" ht="15" hidden="false" customHeight="false" outlineLevel="0" collapsed="false">
      <c r="A337" s="5" t="n">
        <v>336</v>
      </c>
      <c r="B337" s="5" t="s">
        <v>428</v>
      </c>
      <c r="C337" s="5" t="s">
        <v>54</v>
      </c>
      <c r="D337" s="5" t="s">
        <v>19</v>
      </c>
      <c r="E337" s="5" t="s">
        <v>37</v>
      </c>
      <c r="F337" s="5" t="s">
        <v>385</v>
      </c>
      <c r="G337" s="5" t="s">
        <v>39</v>
      </c>
      <c r="H337" s="5" t="s">
        <v>40</v>
      </c>
      <c r="I337" s="5" t="s">
        <v>55</v>
      </c>
      <c r="J337" s="5" t="n">
        <v>1</v>
      </c>
      <c r="K337" s="5"/>
      <c r="L337" s="6"/>
      <c r="M337" s="6"/>
      <c r="N337" s="6"/>
      <c r="O337" s="6"/>
      <c r="P337" s="5" t="str">
        <f aca="false">IF(M337="","",ROUND(M337*IFERROR(INDEX(Weights!$B$2:$B$4,MATCH(G337,Weights!$A$2:$A$4,0)),0)*IFERROR(INDEX(Weights!$B$7:$B$11,MATCH(E337,Weights!$A$7:$A$11,0)),0)*IFERROR(INDEX(Weights!$B$14:$B$17,MATCH(TEXT(J337,"0"),Weights!$A$14:$A$17,0)),0)/(1+N(N337)/50),1))</f>
        <v/>
      </c>
      <c r="Q337" s="5" t="s">
        <v>42</v>
      </c>
    </row>
    <row r="338" customFormat="false" ht="15" hidden="false" customHeight="false" outlineLevel="0" collapsed="false">
      <c r="A338" s="5" t="n">
        <v>337</v>
      </c>
      <c r="B338" s="5" t="s">
        <v>429</v>
      </c>
      <c r="C338" s="5" t="s">
        <v>54</v>
      </c>
      <c r="D338" s="5" t="s">
        <v>403</v>
      </c>
      <c r="E338" s="5" t="s">
        <v>37</v>
      </c>
      <c r="F338" s="5" t="s">
        <v>385</v>
      </c>
      <c r="G338" s="5" t="s">
        <v>404</v>
      </c>
      <c r="H338" s="5" t="s">
        <v>405</v>
      </c>
      <c r="I338" s="5" t="s">
        <v>406</v>
      </c>
      <c r="J338" s="5" t="n">
        <v>2</v>
      </c>
      <c r="K338" s="5"/>
      <c r="L338" s="6"/>
      <c r="M338" s="6"/>
      <c r="N338" s="6"/>
      <c r="O338" s="6"/>
      <c r="P338" s="5" t="str">
        <f aca="false">IF(M338="","",ROUND(M338*IFERROR(INDEX(Weights!$B$2:$B$4,MATCH(G338,Weights!$A$2:$A$4,0)),0)*IFERROR(INDEX(Weights!$B$7:$B$11,MATCH(E338,Weights!$A$7:$A$11,0)),0)*IFERROR(INDEX(Weights!$B$14:$B$17,MATCH(TEXT(J338,"0"),Weights!$A$14:$A$17,0)),0)/(1+N(N338)/50),1))</f>
        <v/>
      </c>
      <c r="Q338" s="5" t="s">
        <v>42</v>
      </c>
    </row>
    <row r="339" customFormat="false" ht="15" hidden="false" customHeight="false" outlineLevel="0" collapsed="false">
      <c r="A339" s="5" t="n">
        <v>338</v>
      </c>
      <c r="B339" s="5" t="s">
        <v>430</v>
      </c>
      <c r="C339" s="5" t="s">
        <v>54</v>
      </c>
      <c r="D339" s="5" t="s">
        <v>399</v>
      </c>
      <c r="E339" s="5" t="s">
        <v>37</v>
      </c>
      <c r="F339" s="5" t="s">
        <v>385</v>
      </c>
      <c r="G339" s="5" t="s">
        <v>394</v>
      </c>
      <c r="H339" s="5" t="s">
        <v>395</v>
      </c>
      <c r="I339" s="5" t="s">
        <v>400</v>
      </c>
      <c r="J339" s="5" t="n">
        <v>1</v>
      </c>
      <c r="K339" s="5"/>
      <c r="L339" s="6"/>
      <c r="M339" s="6"/>
      <c r="N339" s="6"/>
      <c r="O339" s="6"/>
      <c r="P339" s="5" t="str">
        <f aca="false">IF(M339="","",ROUND(M339*IFERROR(INDEX(Weights!$B$2:$B$4,MATCH(G339,Weights!$A$2:$A$4,0)),0)*IFERROR(INDEX(Weights!$B$7:$B$11,MATCH(E339,Weights!$A$7:$A$11,0)),0)*IFERROR(INDEX(Weights!$B$14:$B$17,MATCH(TEXT(J339,"0"),Weights!$A$14:$A$17,0)),0)/(1+N(N339)/50),1))</f>
        <v/>
      </c>
      <c r="Q339" s="5" t="s">
        <v>42</v>
      </c>
    </row>
    <row r="340" customFormat="false" ht="15" hidden="false" customHeight="false" outlineLevel="0" collapsed="false">
      <c r="A340" s="5" t="n">
        <v>339</v>
      </c>
      <c r="B340" s="5" t="s">
        <v>431</v>
      </c>
      <c r="C340" s="5" t="s">
        <v>54</v>
      </c>
      <c r="D340" s="5" t="s">
        <v>19</v>
      </c>
      <c r="E340" s="5" t="s">
        <v>37</v>
      </c>
      <c r="F340" s="5" t="s">
        <v>385</v>
      </c>
      <c r="G340" s="5" t="s">
        <v>39</v>
      </c>
      <c r="H340" s="5" t="s">
        <v>40</v>
      </c>
      <c r="I340" s="5" t="s">
        <v>432</v>
      </c>
      <c r="J340" s="5" t="n">
        <v>2</v>
      </c>
      <c r="K340" s="5"/>
      <c r="L340" s="6"/>
      <c r="M340" s="6"/>
      <c r="N340" s="6"/>
      <c r="O340" s="6"/>
      <c r="P340" s="5" t="str">
        <f aca="false">IF(M340="","",ROUND(M340*IFERROR(INDEX(Weights!$B$2:$B$4,MATCH(G340,Weights!$A$2:$A$4,0)),0)*IFERROR(INDEX(Weights!$B$7:$B$11,MATCH(E340,Weights!$A$7:$A$11,0)),0)*IFERROR(INDEX(Weights!$B$14:$B$17,MATCH(TEXT(J340,"0"),Weights!$A$14:$A$17,0)),0)/(1+N(N340)/50),1))</f>
        <v/>
      </c>
      <c r="Q340" s="5" t="s">
        <v>42</v>
      </c>
    </row>
    <row r="341" customFormat="false" ht="15" hidden="false" customHeight="false" outlineLevel="0" collapsed="false">
      <c r="A341" s="5" t="n">
        <v>340</v>
      </c>
      <c r="B341" s="5" t="s">
        <v>433</v>
      </c>
      <c r="C341" s="5" t="s">
        <v>434</v>
      </c>
      <c r="D341" s="5" t="s">
        <v>19</v>
      </c>
      <c r="E341" s="5" t="s">
        <v>37</v>
      </c>
      <c r="F341" s="5" t="s">
        <v>385</v>
      </c>
      <c r="G341" s="5" t="s">
        <v>39</v>
      </c>
      <c r="H341" s="5" t="s">
        <v>40</v>
      </c>
      <c r="I341" s="5" t="s">
        <v>435</v>
      </c>
      <c r="J341" s="5" t="n">
        <v>1</v>
      </c>
      <c r="K341" s="5"/>
      <c r="L341" s="6"/>
      <c r="M341" s="6"/>
      <c r="N341" s="6"/>
      <c r="O341" s="6"/>
      <c r="P341" s="5" t="str">
        <f aca="false">IF(M341="","",ROUND(M341*IFERROR(INDEX(Weights!$B$2:$B$4,MATCH(G341,Weights!$A$2:$A$4,0)),0)*IFERROR(INDEX(Weights!$B$7:$B$11,MATCH(E341,Weights!$A$7:$A$11,0)),0)*IFERROR(INDEX(Weights!$B$14:$B$17,MATCH(TEXT(J341,"0"),Weights!$A$14:$A$17,0)),0)/(1+N(N341)/50),1))</f>
        <v/>
      </c>
      <c r="Q341" s="5" t="s">
        <v>42</v>
      </c>
    </row>
    <row r="342" customFormat="false" ht="15" hidden="false" customHeight="false" outlineLevel="0" collapsed="false">
      <c r="A342" s="5" t="n">
        <v>341</v>
      </c>
      <c r="B342" s="5" t="s">
        <v>436</v>
      </c>
      <c r="C342" s="5" t="s">
        <v>434</v>
      </c>
      <c r="D342" s="5" t="s">
        <v>19</v>
      </c>
      <c r="E342" s="5" t="s">
        <v>37</v>
      </c>
      <c r="F342" s="5" t="s">
        <v>385</v>
      </c>
      <c r="G342" s="5" t="s">
        <v>39</v>
      </c>
      <c r="H342" s="5" t="s">
        <v>40</v>
      </c>
      <c r="I342" s="5" t="s">
        <v>435</v>
      </c>
      <c r="J342" s="5" t="n">
        <v>1</v>
      </c>
      <c r="K342" s="5"/>
      <c r="L342" s="6"/>
      <c r="M342" s="6"/>
      <c r="N342" s="6"/>
      <c r="O342" s="6"/>
      <c r="P342" s="5" t="str">
        <f aca="false">IF(M342="","",ROUND(M342*IFERROR(INDEX(Weights!$B$2:$B$4,MATCH(G342,Weights!$A$2:$A$4,0)),0)*IFERROR(INDEX(Weights!$B$7:$B$11,MATCH(E342,Weights!$A$7:$A$11,0)),0)*IFERROR(INDEX(Weights!$B$14:$B$17,MATCH(TEXT(J342,"0"),Weights!$A$14:$A$17,0)),0)/(1+N(N342)/50),1))</f>
        <v/>
      </c>
      <c r="Q342" s="5" t="s">
        <v>42</v>
      </c>
    </row>
    <row r="343" customFormat="false" ht="15" hidden="false" customHeight="false" outlineLevel="0" collapsed="false">
      <c r="A343" s="5" t="n">
        <v>342</v>
      </c>
      <c r="B343" s="5" t="s">
        <v>437</v>
      </c>
      <c r="C343" s="5" t="s">
        <v>434</v>
      </c>
      <c r="D343" s="5" t="s">
        <v>419</v>
      </c>
      <c r="E343" s="5" t="s">
        <v>37</v>
      </c>
      <c r="F343" s="5" t="s">
        <v>385</v>
      </c>
      <c r="G343" s="5" t="s">
        <v>39</v>
      </c>
      <c r="H343" s="5" t="s">
        <v>395</v>
      </c>
      <c r="I343" s="5" t="s">
        <v>435</v>
      </c>
      <c r="J343" s="5" t="n">
        <v>1</v>
      </c>
      <c r="K343" s="5"/>
      <c r="L343" s="6"/>
      <c r="M343" s="6"/>
      <c r="N343" s="6"/>
      <c r="O343" s="6"/>
      <c r="P343" s="5" t="str">
        <f aca="false">IF(M343="","",ROUND(M343*IFERROR(INDEX(Weights!$B$2:$B$4,MATCH(G343,Weights!$A$2:$A$4,0)),0)*IFERROR(INDEX(Weights!$B$7:$B$11,MATCH(E343,Weights!$A$7:$A$11,0)),0)*IFERROR(INDEX(Weights!$B$14:$B$17,MATCH(TEXT(J343,"0"),Weights!$A$14:$A$17,0)),0)/(1+N(N343)/50),1))</f>
        <v/>
      </c>
      <c r="Q343" s="5" t="s">
        <v>42</v>
      </c>
    </row>
    <row r="344" customFormat="false" ht="15" hidden="false" customHeight="false" outlineLevel="0" collapsed="false">
      <c r="A344" s="5" t="n">
        <v>343</v>
      </c>
      <c r="B344" s="5" t="s">
        <v>438</v>
      </c>
      <c r="C344" s="5" t="s">
        <v>434</v>
      </c>
      <c r="D344" s="5" t="s">
        <v>19</v>
      </c>
      <c r="E344" s="5" t="s">
        <v>37</v>
      </c>
      <c r="F344" s="5" t="s">
        <v>385</v>
      </c>
      <c r="G344" s="5" t="s">
        <v>39</v>
      </c>
      <c r="H344" s="5" t="s">
        <v>40</v>
      </c>
      <c r="I344" s="5" t="s">
        <v>435</v>
      </c>
      <c r="J344" s="5" t="n">
        <v>1</v>
      </c>
      <c r="K344" s="5"/>
      <c r="L344" s="6"/>
      <c r="M344" s="6"/>
      <c r="N344" s="6"/>
      <c r="O344" s="6"/>
      <c r="P344" s="5" t="str">
        <f aca="false">IF(M344="","",ROUND(M344*IFERROR(INDEX(Weights!$B$2:$B$4,MATCH(G344,Weights!$A$2:$A$4,0)),0)*IFERROR(INDEX(Weights!$B$7:$B$11,MATCH(E344,Weights!$A$7:$A$11,0)),0)*IFERROR(INDEX(Weights!$B$14:$B$17,MATCH(TEXT(J344,"0"),Weights!$A$14:$A$17,0)),0)/(1+N(N344)/50),1))</f>
        <v/>
      </c>
      <c r="Q344" s="5" t="s">
        <v>42</v>
      </c>
    </row>
    <row r="345" customFormat="false" ht="15" hidden="false" customHeight="false" outlineLevel="0" collapsed="false">
      <c r="A345" s="5" t="n">
        <v>344</v>
      </c>
      <c r="B345" s="5" t="s">
        <v>439</v>
      </c>
      <c r="C345" s="5" t="s">
        <v>434</v>
      </c>
      <c r="D345" s="5" t="s">
        <v>419</v>
      </c>
      <c r="E345" s="5" t="s">
        <v>37</v>
      </c>
      <c r="F345" s="5" t="s">
        <v>385</v>
      </c>
      <c r="G345" s="5" t="s">
        <v>39</v>
      </c>
      <c r="H345" s="5" t="s">
        <v>395</v>
      </c>
      <c r="I345" s="5" t="s">
        <v>435</v>
      </c>
      <c r="J345" s="5" t="n">
        <v>1</v>
      </c>
      <c r="K345" s="5"/>
      <c r="L345" s="6"/>
      <c r="M345" s="6"/>
      <c r="N345" s="6"/>
      <c r="O345" s="6"/>
      <c r="P345" s="5" t="str">
        <f aca="false">IF(M345="","",ROUND(M345*IFERROR(INDEX(Weights!$B$2:$B$4,MATCH(G345,Weights!$A$2:$A$4,0)),0)*IFERROR(INDEX(Weights!$B$7:$B$11,MATCH(E345,Weights!$A$7:$A$11,0)),0)*IFERROR(INDEX(Weights!$B$14:$B$17,MATCH(TEXT(J345,"0"),Weights!$A$14:$A$17,0)),0)/(1+N(N345)/50),1))</f>
        <v/>
      </c>
      <c r="Q345" s="5" t="s">
        <v>42</v>
      </c>
    </row>
    <row r="346" customFormat="false" ht="15" hidden="false" customHeight="false" outlineLevel="0" collapsed="false">
      <c r="A346" s="5" t="n">
        <v>345</v>
      </c>
      <c r="B346" s="5" t="s">
        <v>440</v>
      </c>
      <c r="C346" s="5" t="s">
        <v>434</v>
      </c>
      <c r="D346" s="5" t="s">
        <v>19</v>
      </c>
      <c r="E346" s="5" t="s">
        <v>37</v>
      </c>
      <c r="F346" s="5" t="s">
        <v>385</v>
      </c>
      <c r="G346" s="5" t="s">
        <v>39</v>
      </c>
      <c r="H346" s="5" t="s">
        <v>40</v>
      </c>
      <c r="I346" s="5" t="s">
        <v>435</v>
      </c>
      <c r="J346" s="5" t="n">
        <v>1</v>
      </c>
      <c r="K346" s="5"/>
      <c r="L346" s="6"/>
      <c r="M346" s="6"/>
      <c r="N346" s="6"/>
      <c r="O346" s="6"/>
      <c r="P346" s="5" t="str">
        <f aca="false">IF(M346="","",ROUND(M346*IFERROR(INDEX(Weights!$B$2:$B$4,MATCH(G346,Weights!$A$2:$A$4,0)),0)*IFERROR(INDEX(Weights!$B$7:$B$11,MATCH(E346,Weights!$A$7:$A$11,0)),0)*IFERROR(INDEX(Weights!$B$14:$B$17,MATCH(TEXT(J346,"0"),Weights!$A$14:$A$17,0)),0)/(1+N(N346)/50),1))</f>
        <v/>
      </c>
      <c r="Q346" s="5" t="s">
        <v>42</v>
      </c>
    </row>
    <row r="347" customFormat="false" ht="15" hidden="false" customHeight="false" outlineLevel="0" collapsed="false">
      <c r="A347" s="5" t="n">
        <v>346</v>
      </c>
      <c r="B347" s="5" t="s">
        <v>441</v>
      </c>
      <c r="C347" s="5" t="s">
        <v>434</v>
      </c>
      <c r="D347" s="5" t="s">
        <v>419</v>
      </c>
      <c r="E347" s="5" t="s">
        <v>37</v>
      </c>
      <c r="F347" s="5" t="s">
        <v>385</v>
      </c>
      <c r="G347" s="5" t="s">
        <v>39</v>
      </c>
      <c r="H347" s="5" t="s">
        <v>395</v>
      </c>
      <c r="I347" s="5" t="s">
        <v>435</v>
      </c>
      <c r="J347" s="5" t="n">
        <v>1</v>
      </c>
      <c r="K347" s="5"/>
      <c r="L347" s="6"/>
      <c r="M347" s="6"/>
      <c r="N347" s="6"/>
      <c r="O347" s="6"/>
      <c r="P347" s="5" t="str">
        <f aca="false">IF(M347="","",ROUND(M347*IFERROR(INDEX(Weights!$B$2:$B$4,MATCH(G347,Weights!$A$2:$A$4,0)),0)*IFERROR(INDEX(Weights!$B$7:$B$11,MATCH(E347,Weights!$A$7:$A$11,0)),0)*IFERROR(INDEX(Weights!$B$14:$B$17,MATCH(TEXT(J347,"0"),Weights!$A$14:$A$17,0)),0)/(1+N(N347)/50),1))</f>
        <v/>
      </c>
      <c r="Q347" s="5" t="s">
        <v>42</v>
      </c>
    </row>
    <row r="348" customFormat="false" ht="15" hidden="false" customHeight="false" outlineLevel="0" collapsed="false">
      <c r="A348" s="5" t="n">
        <v>347</v>
      </c>
      <c r="B348" s="5" t="s">
        <v>442</v>
      </c>
      <c r="C348" s="5" t="s">
        <v>434</v>
      </c>
      <c r="D348" s="5" t="s">
        <v>403</v>
      </c>
      <c r="E348" s="5" t="s">
        <v>37</v>
      </c>
      <c r="F348" s="5" t="s">
        <v>385</v>
      </c>
      <c r="G348" s="5" t="s">
        <v>404</v>
      </c>
      <c r="H348" s="5" t="s">
        <v>405</v>
      </c>
      <c r="I348" s="5" t="s">
        <v>406</v>
      </c>
      <c r="J348" s="5" t="n">
        <v>1</v>
      </c>
      <c r="K348" s="5"/>
      <c r="L348" s="6"/>
      <c r="M348" s="6"/>
      <c r="N348" s="6"/>
      <c r="O348" s="6"/>
      <c r="P348" s="5" t="str">
        <f aca="false">IF(M348="","",ROUND(M348*IFERROR(INDEX(Weights!$B$2:$B$4,MATCH(G348,Weights!$A$2:$A$4,0)),0)*IFERROR(INDEX(Weights!$B$7:$B$11,MATCH(E348,Weights!$A$7:$A$11,0)),0)*IFERROR(INDEX(Weights!$B$14:$B$17,MATCH(TEXT(J348,"0"),Weights!$A$14:$A$17,0)),0)/(1+N(N348)/50),1))</f>
        <v/>
      </c>
      <c r="Q348" s="5" t="s">
        <v>42</v>
      </c>
    </row>
    <row r="349" customFormat="false" ht="15" hidden="false" customHeight="false" outlineLevel="0" collapsed="false">
      <c r="A349" s="5" t="n">
        <v>348</v>
      </c>
      <c r="B349" s="5" t="s">
        <v>443</v>
      </c>
      <c r="C349" s="5" t="s">
        <v>434</v>
      </c>
      <c r="D349" s="5" t="s">
        <v>403</v>
      </c>
      <c r="E349" s="5" t="s">
        <v>37</v>
      </c>
      <c r="F349" s="5" t="s">
        <v>385</v>
      </c>
      <c r="G349" s="5" t="s">
        <v>404</v>
      </c>
      <c r="H349" s="5" t="s">
        <v>405</v>
      </c>
      <c r="I349" s="5" t="s">
        <v>406</v>
      </c>
      <c r="J349" s="5" t="n">
        <v>1</v>
      </c>
      <c r="K349" s="5"/>
      <c r="L349" s="6"/>
      <c r="M349" s="6"/>
      <c r="N349" s="6"/>
      <c r="O349" s="6"/>
      <c r="P349" s="5" t="str">
        <f aca="false">IF(M349="","",ROUND(M349*IFERROR(INDEX(Weights!$B$2:$B$4,MATCH(G349,Weights!$A$2:$A$4,0)),0)*IFERROR(INDEX(Weights!$B$7:$B$11,MATCH(E349,Weights!$A$7:$A$11,0)),0)*IFERROR(INDEX(Weights!$B$14:$B$17,MATCH(TEXT(J349,"0"),Weights!$A$14:$A$17,0)),0)/(1+N(N349)/50),1))</f>
        <v/>
      </c>
      <c r="Q349" s="5" t="s">
        <v>42</v>
      </c>
    </row>
    <row r="350" customFormat="false" ht="15" hidden="false" customHeight="false" outlineLevel="0" collapsed="false">
      <c r="A350" s="5" t="n">
        <v>349</v>
      </c>
      <c r="B350" s="5" t="s">
        <v>444</v>
      </c>
      <c r="C350" s="5" t="s">
        <v>434</v>
      </c>
      <c r="D350" s="5" t="s">
        <v>403</v>
      </c>
      <c r="E350" s="5" t="s">
        <v>37</v>
      </c>
      <c r="F350" s="5" t="s">
        <v>385</v>
      </c>
      <c r="G350" s="5" t="s">
        <v>404</v>
      </c>
      <c r="H350" s="5" t="s">
        <v>405</v>
      </c>
      <c r="I350" s="5" t="s">
        <v>406</v>
      </c>
      <c r="J350" s="5" t="n">
        <v>1</v>
      </c>
      <c r="K350" s="5"/>
      <c r="L350" s="6"/>
      <c r="M350" s="6"/>
      <c r="N350" s="6"/>
      <c r="O350" s="6"/>
      <c r="P350" s="5" t="str">
        <f aca="false">IF(M350="","",ROUND(M350*IFERROR(INDEX(Weights!$B$2:$B$4,MATCH(G350,Weights!$A$2:$A$4,0)),0)*IFERROR(INDEX(Weights!$B$7:$B$11,MATCH(E350,Weights!$A$7:$A$11,0)),0)*IFERROR(INDEX(Weights!$B$14:$B$17,MATCH(TEXT(J350,"0"),Weights!$A$14:$A$17,0)),0)/(1+N(N350)/50),1))</f>
        <v/>
      </c>
      <c r="Q350" s="5" t="s">
        <v>42</v>
      </c>
    </row>
    <row r="351" customFormat="false" ht="15" hidden="false" customHeight="false" outlineLevel="0" collapsed="false">
      <c r="A351" s="5" t="n">
        <v>350</v>
      </c>
      <c r="B351" s="5" t="s">
        <v>445</v>
      </c>
      <c r="C351" s="5" t="s">
        <v>434</v>
      </c>
      <c r="D351" s="5" t="s">
        <v>403</v>
      </c>
      <c r="E351" s="5" t="s">
        <v>37</v>
      </c>
      <c r="F351" s="5" t="s">
        <v>385</v>
      </c>
      <c r="G351" s="5" t="s">
        <v>404</v>
      </c>
      <c r="H351" s="5" t="s">
        <v>405</v>
      </c>
      <c r="I351" s="5" t="s">
        <v>406</v>
      </c>
      <c r="J351" s="5" t="n">
        <v>2</v>
      </c>
      <c r="K351" s="5"/>
      <c r="L351" s="6"/>
      <c r="M351" s="6"/>
      <c r="N351" s="6"/>
      <c r="O351" s="6"/>
      <c r="P351" s="5" t="str">
        <f aca="false">IF(M351="","",ROUND(M351*IFERROR(INDEX(Weights!$B$2:$B$4,MATCH(G351,Weights!$A$2:$A$4,0)),0)*IFERROR(INDEX(Weights!$B$7:$B$11,MATCH(E351,Weights!$A$7:$A$11,0)),0)*IFERROR(INDEX(Weights!$B$14:$B$17,MATCH(TEXT(J351,"0"),Weights!$A$14:$A$17,0)),0)/(1+N(N351)/50),1))</f>
        <v/>
      </c>
      <c r="Q351" s="5" t="s">
        <v>42</v>
      </c>
    </row>
    <row r="352" customFormat="false" ht="15" hidden="false" customHeight="false" outlineLevel="0" collapsed="false">
      <c r="A352" s="5" t="n">
        <v>351</v>
      </c>
      <c r="B352" s="5" t="s">
        <v>446</v>
      </c>
      <c r="C352" s="5" t="s">
        <v>434</v>
      </c>
      <c r="D352" s="5" t="s">
        <v>393</v>
      </c>
      <c r="E352" s="5" t="s">
        <v>37</v>
      </c>
      <c r="F352" s="5" t="s">
        <v>385</v>
      </c>
      <c r="G352" s="5" t="s">
        <v>394</v>
      </c>
      <c r="H352" s="5" t="s">
        <v>395</v>
      </c>
      <c r="I352" s="5" t="s">
        <v>411</v>
      </c>
      <c r="J352" s="5" t="n">
        <v>2</v>
      </c>
      <c r="K352" s="5"/>
      <c r="L352" s="6"/>
      <c r="M352" s="6"/>
      <c r="N352" s="6"/>
      <c r="O352" s="6"/>
      <c r="P352" s="5" t="str">
        <f aca="false">IF(M352="","",ROUND(M352*IFERROR(INDEX(Weights!$B$2:$B$4,MATCH(G352,Weights!$A$2:$A$4,0)),0)*IFERROR(INDEX(Weights!$B$7:$B$11,MATCH(E352,Weights!$A$7:$A$11,0)),0)*IFERROR(INDEX(Weights!$B$14:$B$17,MATCH(TEXT(J352,"0"),Weights!$A$14:$A$17,0)),0)/(1+N(N352)/50),1))</f>
        <v/>
      </c>
      <c r="Q352" s="5" t="s">
        <v>42</v>
      </c>
    </row>
    <row r="353" customFormat="false" ht="15" hidden="false" customHeight="false" outlineLevel="0" collapsed="false">
      <c r="A353" s="5" t="n">
        <v>352</v>
      </c>
      <c r="B353" s="5" t="s">
        <v>447</v>
      </c>
      <c r="C353" s="5" t="s">
        <v>57</v>
      </c>
      <c r="D353" s="5" t="s">
        <v>19</v>
      </c>
      <c r="E353" s="5" t="s">
        <v>37</v>
      </c>
      <c r="F353" s="5" t="s">
        <v>385</v>
      </c>
      <c r="G353" s="5" t="s">
        <v>39</v>
      </c>
      <c r="H353" s="5" t="s">
        <v>40</v>
      </c>
      <c r="I353" s="5" t="s">
        <v>58</v>
      </c>
      <c r="J353" s="5" t="n">
        <v>1</v>
      </c>
      <c r="K353" s="5"/>
      <c r="L353" s="6"/>
      <c r="M353" s="6"/>
      <c r="N353" s="6"/>
      <c r="O353" s="6"/>
      <c r="P353" s="5" t="str">
        <f aca="false">IF(M353="","",ROUND(M353*IFERROR(INDEX(Weights!$B$2:$B$4,MATCH(G353,Weights!$A$2:$A$4,0)),0)*IFERROR(INDEX(Weights!$B$7:$B$11,MATCH(E353,Weights!$A$7:$A$11,0)),0)*IFERROR(INDEX(Weights!$B$14:$B$17,MATCH(TEXT(J353,"0"),Weights!$A$14:$A$17,0)),0)/(1+N(N353)/50),1))</f>
        <v/>
      </c>
      <c r="Q353" s="5" t="s">
        <v>42</v>
      </c>
    </row>
    <row r="354" customFormat="false" ht="15" hidden="false" customHeight="false" outlineLevel="0" collapsed="false">
      <c r="A354" s="5" t="n">
        <v>353</v>
      </c>
      <c r="B354" s="5" t="s">
        <v>448</v>
      </c>
      <c r="C354" s="5" t="s">
        <v>57</v>
      </c>
      <c r="D354" s="5" t="s">
        <v>19</v>
      </c>
      <c r="E354" s="5" t="s">
        <v>37</v>
      </c>
      <c r="F354" s="5" t="s">
        <v>385</v>
      </c>
      <c r="G354" s="5" t="s">
        <v>39</v>
      </c>
      <c r="H354" s="5" t="s">
        <v>40</v>
      </c>
      <c r="I354" s="5" t="s">
        <v>58</v>
      </c>
      <c r="J354" s="5" t="n">
        <v>1</v>
      </c>
      <c r="K354" s="5"/>
      <c r="L354" s="6"/>
      <c r="M354" s="6"/>
      <c r="N354" s="6"/>
      <c r="O354" s="6"/>
      <c r="P354" s="5" t="str">
        <f aca="false">IF(M354="","",ROUND(M354*IFERROR(INDEX(Weights!$B$2:$B$4,MATCH(G354,Weights!$A$2:$A$4,0)),0)*IFERROR(INDEX(Weights!$B$7:$B$11,MATCH(E354,Weights!$A$7:$A$11,0)),0)*IFERROR(INDEX(Weights!$B$14:$B$17,MATCH(TEXT(J354,"0"),Weights!$A$14:$A$17,0)),0)/(1+N(N354)/50),1))</f>
        <v/>
      </c>
      <c r="Q354" s="5" t="s">
        <v>42</v>
      </c>
    </row>
    <row r="355" customFormat="false" ht="15" hidden="false" customHeight="false" outlineLevel="0" collapsed="false">
      <c r="A355" s="5" t="n">
        <v>354</v>
      </c>
      <c r="B355" s="5" t="s">
        <v>449</v>
      </c>
      <c r="C355" s="5" t="s">
        <v>57</v>
      </c>
      <c r="D355" s="5" t="s">
        <v>19</v>
      </c>
      <c r="E355" s="5" t="s">
        <v>37</v>
      </c>
      <c r="F355" s="5" t="s">
        <v>385</v>
      </c>
      <c r="G355" s="5" t="s">
        <v>39</v>
      </c>
      <c r="H355" s="5" t="s">
        <v>40</v>
      </c>
      <c r="I355" s="5" t="s">
        <v>58</v>
      </c>
      <c r="J355" s="5" t="n">
        <v>1</v>
      </c>
      <c r="K355" s="5"/>
      <c r="L355" s="6"/>
      <c r="M355" s="6"/>
      <c r="N355" s="6"/>
      <c r="O355" s="6"/>
      <c r="P355" s="5" t="str">
        <f aca="false">IF(M355="","",ROUND(M355*IFERROR(INDEX(Weights!$B$2:$B$4,MATCH(G355,Weights!$A$2:$A$4,0)),0)*IFERROR(INDEX(Weights!$B$7:$B$11,MATCH(E355,Weights!$A$7:$A$11,0)),0)*IFERROR(INDEX(Weights!$B$14:$B$17,MATCH(TEXT(J355,"0"),Weights!$A$14:$A$17,0)),0)/(1+N(N355)/50),1))</f>
        <v/>
      </c>
      <c r="Q355" s="5" t="s">
        <v>42</v>
      </c>
    </row>
    <row r="356" customFormat="false" ht="15" hidden="false" customHeight="false" outlineLevel="0" collapsed="false">
      <c r="A356" s="5" t="n">
        <v>355</v>
      </c>
      <c r="B356" s="5" t="s">
        <v>450</v>
      </c>
      <c r="C356" s="5" t="s">
        <v>57</v>
      </c>
      <c r="D356" s="5" t="s">
        <v>399</v>
      </c>
      <c r="E356" s="5" t="s">
        <v>37</v>
      </c>
      <c r="F356" s="5" t="s">
        <v>385</v>
      </c>
      <c r="G356" s="5" t="s">
        <v>394</v>
      </c>
      <c r="H356" s="5" t="s">
        <v>395</v>
      </c>
      <c r="I356" s="5" t="s">
        <v>400</v>
      </c>
      <c r="J356" s="5" t="n">
        <v>1</v>
      </c>
      <c r="K356" s="5"/>
      <c r="L356" s="6"/>
      <c r="M356" s="6"/>
      <c r="N356" s="6"/>
      <c r="O356" s="6"/>
      <c r="P356" s="5" t="str">
        <f aca="false">IF(M356="","",ROUND(M356*IFERROR(INDEX(Weights!$B$2:$B$4,MATCH(G356,Weights!$A$2:$A$4,0)),0)*IFERROR(INDEX(Weights!$B$7:$B$11,MATCH(E356,Weights!$A$7:$A$11,0)),0)*IFERROR(INDEX(Weights!$B$14:$B$17,MATCH(TEXT(J356,"0"),Weights!$A$14:$A$17,0)),0)/(1+N(N356)/50),1))</f>
        <v/>
      </c>
      <c r="Q356" s="5" t="s">
        <v>42</v>
      </c>
    </row>
    <row r="357" customFormat="false" ht="15" hidden="false" customHeight="false" outlineLevel="0" collapsed="false">
      <c r="A357" s="5" t="n">
        <v>356</v>
      </c>
      <c r="B357" s="5" t="s">
        <v>451</v>
      </c>
      <c r="C357" s="5" t="s">
        <v>57</v>
      </c>
      <c r="D357" s="5" t="s">
        <v>19</v>
      </c>
      <c r="E357" s="5" t="s">
        <v>37</v>
      </c>
      <c r="F357" s="5" t="s">
        <v>385</v>
      </c>
      <c r="G357" s="5" t="s">
        <v>39</v>
      </c>
      <c r="H357" s="5" t="s">
        <v>40</v>
      </c>
      <c r="I357" s="5" t="s">
        <v>58</v>
      </c>
      <c r="J357" s="5" t="n">
        <v>1</v>
      </c>
      <c r="K357" s="5"/>
      <c r="L357" s="6"/>
      <c r="M357" s="6"/>
      <c r="N357" s="6"/>
      <c r="O357" s="6"/>
      <c r="P357" s="5" t="str">
        <f aca="false">IF(M357="","",ROUND(M357*IFERROR(INDEX(Weights!$B$2:$B$4,MATCH(G357,Weights!$A$2:$A$4,0)),0)*IFERROR(INDEX(Weights!$B$7:$B$11,MATCH(E357,Weights!$A$7:$A$11,0)),0)*IFERROR(INDEX(Weights!$B$14:$B$17,MATCH(TEXT(J357,"0"),Weights!$A$14:$A$17,0)),0)/(1+N(N357)/50),1))</f>
        <v/>
      </c>
      <c r="Q357" s="5" t="s">
        <v>42</v>
      </c>
    </row>
    <row r="358" customFormat="false" ht="15" hidden="false" customHeight="false" outlineLevel="0" collapsed="false">
      <c r="A358" s="5" t="n">
        <v>357</v>
      </c>
      <c r="B358" s="5" t="s">
        <v>452</v>
      </c>
      <c r="C358" s="5" t="s">
        <v>57</v>
      </c>
      <c r="D358" s="5" t="s">
        <v>453</v>
      </c>
      <c r="E358" s="5" t="s">
        <v>37</v>
      </c>
      <c r="F358" s="5" t="s">
        <v>385</v>
      </c>
      <c r="G358" s="5" t="s">
        <v>39</v>
      </c>
      <c r="H358" s="5" t="s">
        <v>40</v>
      </c>
      <c r="I358" s="5" t="s">
        <v>454</v>
      </c>
      <c r="J358" s="5" t="n">
        <v>2</v>
      </c>
      <c r="K358" s="5"/>
      <c r="L358" s="6"/>
      <c r="M358" s="6"/>
      <c r="N358" s="6"/>
      <c r="O358" s="6"/>
      <c r="P358" s="5" t="str">
        <f aca="false">IF(M358="","",ROUND(M358*IFERROR(INDEX(Weights!$B$2:$B$4,MATCH(G358,Weights!$A$2:$A$4,0)),0)*IFERROR(INDEX(Weights!$B$7:$B$11,MATCH(E358,Weights!$A$7:$A$11,0)),0)*IFERROR(INDEX(Weights!$B$14:$B$17,MATCH(TEXT(J358,"0"),Weights!$A$14:$A$17,0)),0)/(1+N(N358)/50),1))</f>
        <v/>
      </c>
      <c r="Q358" s="5" t="s">
        <v>42</v>
      </c>
    </row>
    <row r="359" customFormat="false" ht="15" hidden="false" customHeight="false" outlineLevel="0" collapsed="false">
      <c r="A359" s="5" t="n">
        <v>358</v>
      </c>
      <c r="B359" s="5" t="s">
        <v>455</v>
      </c>
      <c r="C359" s="5" t="s">
        <v>456</v>
      </c>
      <c r="D359" s="5" t="s">
        <v>19</v>
      </c>
      <c r="E359" s="5" t="s">
        <v>37</v>
      </c>
      <c r="F359" s="5" t="s">
        <v>385</v>
      </c>
      <c r="G359" s="5" t="s">
        <v>39</v>
      </c>
      <c r="H359" s="5" t="s">
        <v>40</v>
      </c>
      <c r="I359" s="5" t="s">
        <v>457</v>
      </c>
      <c r="J359" s="5" t="n">
        <v>2</v>
      </c>
      <c r="K359" s="5"/>
      <c r="L359" s="6"/>
      <c r="M359" s="6"/>
      <c r="N359" s="6"/>
      <c r="O359" s="6"/>
      <c r="P359" s="5" t="str">
        <f aca="false">IF(M359="","",ROUND(M359*IFERROR(INDEX(Weights!$B$2:$B$4,MATCH(G359,Weights!$A$2:$A$4,0)),0)*IFERROR(INDEX(Weights!$B$7:$B$11,MATCH(E359,Weights!$A$7:$A$11,0)),0)*IFERROR(INDEX(Weights!$B$14:$B$17,MATCH(TEXT(J359,"0"),Weights!$A$14:$A$17,0)),0)/(1+N(N359)/50),1))</f>
        <v/>
      </c>
      <c r="Q359" s="5" t="s">
        <v>42</v>
      </c>
    </row>
    <row r="360" customFormat="false" ht="15" hidden="false" customHeight="false" outlineLevel="0" collapsed="false">
      <c r="A360" s="5" t="n">
        <v>359</v>
      </c>
      <c r="B360" s="5" t="s">
        <v>458</v>
      </c>
      <c r="C360" s="5" t="s">
        <v>456</v>
      </c>
      <c r="D360" s="5" t="s">
        <v>19</v>
      </c>
      <c r="E360" s="5" t="s">
        <v>37</v>
      </c>
      <c r="F360" s="5" t="s">
        <v>385</v>
      </c>
      <c r="G360" s="5" t="s">
        <v>39</v>
      </c>
      <c r="H360" s="5" t="s">
        <v>40</v>
      </c>
      <c r="I360" s="5" t="s">
        <v>457</v>
      </c>
      <c r="J360" s="5" t="n">
        <v>2</v>
      </c>
      <c r="K360" s="5"/>
      <c r="L360" s="6"/>
      <c r="M360" s="6"/>
      <c r="N360" s="6"/>
      <c r="O360" s="6"/>
      <c r="P360" s="5" t="str">
        <f aca="false">IF(M360="","",ROUND(M360*IFERROR(INDEX(Weights!$B$2:$B$4,MATCH(G360,Weights!$A$2:$A$4,0)),0)*IFERROR(INDEX(Weights!$B$7:$B$11,MATCH(E360,Weights!$A$7:$A$11,0)),0)*IFERROR(INDEX(Weights!$B$14:$B$17,MATCH(TEXT(J360,"0"),Weights!$A$14:$A$17,0)),0)/(1+N(N360)/50),1))</f>
        <v/>
      </c>
      <c r="Q360" s="5" t="s">
        <v>42</v>
      </c>
    </row>
    <row r="361" customFormat="false" ht="15" hidden="false" customHeight="false" outlineLevel="0" collapsed="false">
      <c r="A361" s="5" t="n">
        <v>360</v>
      </c>
      <c r="B361" s="5" t="s">
        <v>459</v>
      </c>
      <c r="C361" s="5" t="s">
        <v>456</v>
      </c>
      <c r="D361" s="5" t="s">
        <v>19</v>
      </c>
      <c r="E361" s="5" t="s">
        <v>37</v>
      </c>
      <c r="F361" s="5" t="s">
        <v>385</v>
      </c>
      <c r="G361" s="5" t="s">
        <v>39</v>
      </c>
      <c r="H361" s="5" t="s">
        <v>40</v>
      </c>
      <c r="I361" s="5" t="s">
        <v>457</v>
      </c>
      <c r="J361" s="5" t="n">
        <v>2</v>
      </c>
      <c r="K361" s="5"/>
      <c r="L361" s="6"/>
      <c r="M361" s="6"/>
      <c r="N361" s="6"/>
      <c r="O361" s="6"/>
      <c r="P361" s="5" t="str">
        <f aca="false">IF(M361="","",ROUND(M361*IFERROR(INDEX(Weights!$B$2:$B$4,MATCH(G361,Weights!$A$2:$A$4,0)),0)*IFERROR(INDEX(Weights!$B$7:$B$11,MATCH(E361,Weights!$A$7:$A$11,0)),0)*IFERROR(INDEX(Weights!$B$14:$B$17,MATCH(TEXT(J361,"0"),Weights!$A$14:$A$17,0)),0)/(1+N(N361)/50),1))</f>
        <v/>
      </c>
      <c r="Q361" s="5" t="s">
        <v>42</v>
      </c>
    </row>
    <row r="362" customFormat="false" ht="15" hidden="false" customHeight="false" outlineLevel="0" collapsed="false">
      <c r="A362" s="5" t="n">
        <v>361</v>
      </c>
      <c r="B362" s="5" t="s">
        <v>460</v>
      </c>
      <c r="C362" s="5" t="s">
        <v>456</v>
      </c>
      <c r="D362" s="5" t="s">
        <v>419</v>
      </c>
      <c r="E362" s="5" t="s">
        <v>37</v>
      </c>
      <c r="F362" s="5" t="s">
        <v>385</v>
      </c>
      <c r="G362" s="5" t="s">
        <v>39</v>
      </c>
      <c r="H362" s="5" t="s">
        <v>395</v>
      </c>
      <c r="I362" s="5" t="s">
        <v>457</v>
      </c>
      <c r="J362" s="5" t="n">
        <v>2</v>
      </c>
      <c r="K362" s="5"/>
      <c r="L362" s="6"/>
      <c r="M362" s="6"/>
      <c r="N362" s="6"/>
      <c r="O362" s="6"/>
      <c r="P362" s="5" t="str">
        <f aca="false">IF(M362="","",ROUND(M362*IFERROR(INDEX(Weights!$B$2:$B$4,MATCH(G362,Weights!$A$2:$A$4,0)),0)*IFERROR(INDEX(Weights!$B$7:$B$11,MATCH(E362,Weights!$A$7:$A$11,0)),0)*IFERROR(INDEX(Weights!$B$14:$B$17,MATCH(TEXT(J362,"0"),Weights!$A$14:$A$17,0)),0)/(1+N(N362)/50),1))</f>
        <v/>
      </c>
      <c r="Q362" s="5" t="s">
        <v>42</v>
      </c>
    </row>
    <row r="363" customFormat="false" ht="15" hidden="false" customHeight="false" outlineLevel="0" collapsed="false">
      <c r="A363" s="5" t="n">
        <v>362</v>
      </c>
      <c r="B363" s="5" t="s">
        <v>461</v>
      </c>
      <c r="C363" s="5" t="s">
        <v>456</v>
      </c>
      <c r="D363" s="5" t="s">
        <v>403</v>
      </c>
      <c r="E363" s="5" t="s">
        <v>37</v>
      </c>
      <c r="F363" s="5" t="s">
        <v>385</v>
      </c>
      <c r="G363" s="5" t="s">
        <v>404</v>
      </c>
      <c r="H363" s="5" t="s">
        <v>405</v>
      </c>
      <c r="I363" s="5" t="s">
        <v>406</v>
      </c>
      <c r="J363" s="5" t="n">
        <v>2</v>
      </c>
      <c r="K363" s="5"/>
      <c r="L363" s="6"/>
      <c r="M363" s="6"/>
      <c r="N363" s="6"/>
      <c r="O363" s="6"/>
      <c r="P363" s="5" t="str">
        <f aca="false">IF(M363="","",ROUND(M363*IFERROR(INDEX(Weights!$B$2:$B$4,MATCH(G363,Weights!$A$2:$A$4,0)),0)*IFERROR(INDEX(Weights!$B$7:$B$11,MATCH(E363,Weights!$A$7:$A$11,0)),0)*IFERROR(INDEX(Weights!$B$14:$B$17,MATCH(TEXT(J363,"0"),Weights!$A$14:$A$17,0)),0)/(1+N(N363)/50),1))</f>
        <v/>
      </c>
      <c r="Q363" s="5" t="s">
        <v>42</v>
      </c>
    </row>
    <row r="364" customFormat="false" ht="15" hidden="false" customHeight="false" outlineLevel="0" collapsed="false">
      <c r="A364" s="5" t="n">
        <v>363</v>
      </c>
      <c r="B364" s="5" t="s">
        <v>462</v>
      </c>
      <c r="C364" s="5" t="s">
        <v>456</v>
      </c>
      <c r="D364" s="5" t="s">
        <v>453</v>
      </c>
      <c r="E364" s="5" t="s">
        <v>37</v>
      </c>
      <c r="F364" s="5" t="s">
        <v>385</v>
      </c>
      <c r="G364" s="5" t="s">
        <v>39</v>
      </c>
      <c r="H364" s="5" t="s">
        <v>40</v>
      </c>
      <c r="I364" s="5" t="s">
        <v>457</v>
      </c>
      <c r="J364" s="5" t="n">
        <v>2</v>
      </c>
      <c r="K364" s="5"/>
      <c r="L364" s="6"/>
      <c r="M364" s="6"/>
      <c r="N364" s="6"/>
      <c r="O364" s="6"/>
      <c r="P364" s="5" t="str">
        <f aca="false">IF(M364="","",ROUND(M364*IFERROR(INDEX(Weights!$B$2:$B$4,MATCH(G364,Weights!$A$2:$A$4,0)),0)*IFERROR(INDEX(Weights!$B$7:$B$11,MATCH(E364,Weights!$A$7:$A$11,0)),0)*IFERROR(INDEX(Weights!$B$14:$B$17,MATCH(TEXT(J364,"0"),Weights!$A$14:$A$17,0)),0)/(1+N(N364)/50),1))</f>
        <v/>
      </c>
      <c r="Q364" s="5" t="s">
        <v>42</v>
      </c>
    </row>
    <row r="365" customFormat="false" ht="15" hidden="false" customHeight="false" outlineLevel="0" collapsed="false">
      <c r="A365" s="5" t="n">
        <v>364</v>
      </c>
      <c r="B365" s="5" t="s">
        <v>463</v>
      </c>
      <c r="C365" s="5" t="s">
        <v>464</v>
      </c>
      <c r="D365" s="5" t="s">
        <v>19</v>
      </c>
      <c r="E365" s="5" t="s">
        <v>37</v>
      </c>
      <c r="F365" s="5" t="s">
        <v>385</v>
      </c>
      <c r="G365" s="5" t="s">
        <v>39</v>
      </c>
      <c r="H365" s="5" t="s">
        <v>40</v>
      </c>
      <c r="I365" s="5" t="s">
        <v>465</v>
      </c>
      <c r="J365" s="5" t="n">
        <v>2</v>
      </c>
      <c r="K365" s="5"/>
      <c r="L365" s="6"/>
      <c r="M365" s="6"/>
      <c r="N365" s="6"/>
      <c r="O365" s="6"/>
      <c r="P365" s="5" t="str">
        <f aca="false">IF(M365="","",ROUND(M365*IFERROR(INDEX(Weights!$B$2:$B$4,MATCH(G365,Weights!$A$2:$A$4,0)),0)*IFERROR(INDEX(Weights!$B$7:$B$11,MATCH(E365,Weights!$A$7:$A$11,0)),0)*IFERROR(INDEX(Weights!$B$14:$B$17,MATCH(TEXT(J365,"0"),Weights!$A$14:$A$17,0)),0)/(1+N(N365)/50),1))</f>
        <v/>
      </c>
      <c r="Q365" s="5" t="s">
        <v>42</v>
      </c>
    </row>
    <row r="366" customFormat="false" ht="15" hidden="false" customHeight="false" outlineLevel="0" collapsed="false">
      <c r="A366" s="5" t="n">
        <v>365</v>
      </c>
      <c r="B366" s="5" t="s">
        <v>466</v>
      </c>
      <c r="C366" s="5" t="s">
        <v>464</v>
      </c>
      <c r="D366" s="5" t="s">
        <v>19</v>
      </c>
      <c r="E366" s="5" t="s">
        <v>37</v>
      </c>
      <c r="F366" s="5" t="s">
        <v>385</v>
      </c>
      <c r="G366" s="5" t="s">
        <v>39</v>
      </c>
      <c r="H366" s="5" t="s">
        <v>40</v>
      </c>
      <c r="I366" s="5" t="s">
        <v>465</v>
      </c>
      <c r="J366" s="5" t="n">
        <v>2</v>
      </c>
      <c r="K366" s="5"/>
      <c r="L366" s="6"/>
      <c r="M366" s="6"/>
      <c r="N366" s="6"/>
      <c r="O366" s="6"/>
      <c r="P366" s="5" t="str">
        <f aca="false">IF(M366="","",ROUND(M366*IFERROR(INDEX(Weights!$B$2:$B$4,MATCH(G366,Weights!$A$2:$A$4,0)),0)*IFERROR(INDEX(Weights!$B$7:$B$11,MATCH(E366,Weights!$A$7:$A$11,0)),0)*IFERROR(INDEX(Weights!$B$14:$B$17,MATCH(TEXT(J366,"0"),Weights!$A$14:$A$17,0)),0)/(1+N(N366)/50),1))</f>
        <v/>
      </c>
      <c r="Q366" s="5" t="s">
        <v>42</v>
      </c>
    </row>
    <row r="367" customFormat="false" ht="15" hidden="false" customHeight="false" outlineLevel="0" collapsed="false">
      <c r="A367" s="5" t="n">
        <v>366</v>
      </c>
      <c r="B367" s="5" t="s">
        <v>467</v>
      </c>
      <c r="C367" s="5" t="s">
        <v>464</v>
      </c>
      <c r="D367" s="5" t="s">
        <v>388</v>
      </c>
      <c r="E367" s="5" t="s">
        <v>37</v>
      </c>
      <c r="F367" s="5" t="s">
        <v>385</v>
      </c>
      <c r="G367" s="5" t="s">
        <v>39</v>
      </c>
      <c r="H367" s="5" t="s">
        <v>395</v>
      </c>
      <c r="I367" s="5" t="s">
        <v>465</v>
      </c>
      <c r="J367" s="5" t="n">
        <v>2</v>
      </c>
      <c r="K367" s="5"/>
      <c r="L367" s="6"/>
      <c r="M367" s="6"/>
      <c r="N367" s="6"/>
      <c r="O367" s="6"/>
      <c r="P367" s="5" t="str">
        <f aca="false">IF(M367="","",ROUND(M367*IFERROR(INDEX(Weights!$B$2:$B$4,MATCH(G367,Weights!$A$2:$A$4,0)),0)*IFERROR(INDEX(Weights!$B$7:$B$11,MATCH(E367,Weights!$A$7:$A$11,0)),0)*IFERROR(INDEX(Weights!$B$14:$B$17,MATCH(TEXT(J367,"0"),Weights!$A$14:$A$17,0)),0)/(1+N(N367)/50),1))</f>
        <v/>
      </c>
      <c r="Q367" s="5" t="s">
        <v>42</v>
      </c>
    </row>
    <row r="368" customFormat="false" ht="15" hidden="false" customHeight="false" outlineLevel="0" collapsed="false">
      <c r="A368" s="5" t="n">
        <v>367</v>
      </c>
      <c r="B368" s="5" t="s">
        <v>468</v>
      </c>
      <c r="C368" s="5" t="s">
        <v>464</v>
      </c>
      <c r="D368" s="5" t="s">
        <v>19</v>
      </c>
      <c r="E368" s="5" t="s">
        <v>37</v>
      </c>
      <c r="F368" s="5" t="s">
        <v>385</v>
      </c>
      <c r="G368" s="5" t="s">
        <v>39</v>
      </c>
      <c r="H368" s="5" t="s">
        <v>40</v>
      </c>
      <c r="I368" s="5" t="s">
        <v>465</v>
      </c>
      <c r="J368" s="5" t="n">
        <v>2</v>
      </c>
      <c r="K368" s="5"/>
      <c r="L368" s="6"/>
      <c r="M368" s="6"/>
      <c r="N368" s="6"/>
      <c r="O368" s="6"/>
      <c r="P368" s="5" t="str">
        <f aca="false">IF(M368="","",ROUND(M368*IFERROR(INDEX(Weights!$B$2:$B$4,MATCH(G368,Weights!$A$2:$A$4,0)),0)*IFERROR(INDEX(Weights!$B$7:$B$11,MATCH(E368,Weights!$A$7:$A$11,0)),0)*IFERROR(INDEX(Weights!$B$14:$B$17,MATCH(TEXT(J368,"0"),Weights!$A$14:$A$17,0)),0)/(1+N(N368)/50),1))</f>
        <v/>
      </c>
      <c r="Q368" s="5" t="s">
        <v>42</v>
      </c>
    </row>
    <row r="369" customFormat="false" ht="15" hidden="false" customHeight="false" outlineLevel="0" collapsed="false">
      <c r="A369" s="5" t="n">
        <v>368</v>
      </c>
      <c r="B369" s="5" t="s">
        <v>469</v>
      </c>
      <c r="C369" s="5" t="s">
        <v>464</v>
      </c>
      <c r="D369" s="5" t="s">
        <v>403</v>
      </c>
      <c r="E369" s="5" t="s">
        <v>37</v>
      </c>
      <c r="F369" s="5" t="s">
        <v>385</v>
      </c>
      <c r="G369" s="5" t="s">
        <v>404</v>
      </c>
      <c r="H369" s="5" t="s">
        <v>405</v>
      </c>
      <c r="I369" s="5" t="s">
        <v>406</v>
      </c>
      <c r="J369" s="5" t="n">
        <v>2</v>
      </c>
      <c r="K369" s="5"/>
      <c r="L369" s="6"/>
      <c r="M369" s="6"/>
      <c r="N369" s="6"/>
      <c r="O369" s="6"/>
      <c r="P369" s="5" t="str">
        <f aca="false">IF(M369="","",ROUND(M369*IFERROR(INDEX(Weights!$B$2:$B$4,MATCH(G369,Weights!$A$2:$A$4,0)),0)*IFERROR(INDEX(Weights!$B$7:$B$11,MATCH(E369,Weights!$A$7:$A$11,0)),0)*IFERROR(INDEX(Weights!$B$14:$B$17,MATCH(TEXT(J369,"0"),Weights!$A$14:$A$17,0)),0)/(1+N(N369)/50),1))</f>
        <v/>
      </c>
      <c r="Q369" s="5" t="s">
        <v>42</v>
      </c>
    </row>
    <row r="370" customFormat="false" ht="15" hidden="false" customHeight="false" outlineLevel="0" collapsed="false">
      <c r="A370" s="5" t="n">
        <v>369</v>
      </c>
      <c r="B370" s="5" t="s">
        <v>470</v>
      </c>
      <c r="C370" s="5" t="s">
        <v>64</v>
      </c>
      <c r="D370" s="5" t="s">
        <v>19</v>
      </c>
      <c r="E370" s="5" t="s">
        <v>37</v>
      </c>
      <c r="F370" s="5" t="s">
        <v>385</v>
      </c>
      <c r="G370" s="5" t="s">
        <v>39</v>
      </c>
      <c r="H370" s="5" t="s">
        <v>40</v>
      </c>
      <c r="I370" s="5" t="s">
        <v>64</v>
      </c>
      <c r="J370" s="5" t="n">
        <v>2</v>
      </c>
      <c r="K370" s="5"/>
      <c r="L370" s="6"/>
      <c r="M370" s="6"/>
      <c r="N370" s="6"/>
      <c r="O370" s="6"/>
      <c r="P370" s="5" t="str">
        <f aca="false">IF(M370="","",ROUND(M370*IFERROR(INDEX(Weights!$B$2:$B$4,MATCH(G370,Weights!$A$2:$A$4,0)),0)*IFERROR(INDEX(Weights!$B$7:$B$11,MATCH(E370,Weights!$A$7:$A$11,0)),0)*IFERROR(INDEX(Weights!$B$14:$B$17,MATCH(TEXT(J370,"0"),Weights!$A$14:$A$17,0)),0)/(1+N(N370)/50),1))</f>
        <v/>
      </c>
      <c r="Q370" s="5" t="s">
        <v>42</v>
      </c>
    </row>
    <row r="371" customFormat="false" ht="15" hidden="false" customHeight="false" outlineLevel="0" collapsed="false">
      <c r="A371" s="5" t="n">
        <v>370</v>
      </c>
      <c r="B371" s="5" t="s">
        <v>471</v>
      </c>
      <c r="C371" s="5" t="s">
        <v>64</v>
      </c>
      <c r="D371" s="5" t="s">
        <v>19</v>
      </c>
      <c r="E371" s="5" t="s">
        <v>37</v>
      </c>
      <c r="F371" s="5" t="s">
        <v>385</v>
      </c>
      <c r="G371" s="5" t="s">
        <v>39</v>
      </c>
      <c r="H371" s="5" t="s">
        <v>395</v>
      </c>
      <c r="I371" s="5" t="s">
        <v>64</v>
      </c>
      <c r="J371" s="5" t="n">
        <v>2</v>
      </c>
      <c r="K371" s="5"/>
      <c r="L371" s="6"/>
      <c r="M371" s="6"/>
      <c r="N371" s="6"/>
      <c r="O371" s="6"/>
      <c r="P371" s="5" t="str">
        <f aca="false">IF(M371="","",ROUND(M371*IFERROR(INDEX(Weights!$B$2:$B$4,MATCH(G371,Weights!$A$2:$A$4,0)),0)*IFERROR(INDEX(Weights!$B$7:$B$11,MATCH(E371,Weights!$A$7:$A$11,0)),0)*IFERROR(INDEX(Weights!$B$14:$B$17,MATCH(TEXT(J371,"0"),Weights!$A$14:$A$17,0)),0)/(1+N(N371)/50),1))</f>
        <v/>
      </c>
      <c r="Q371" s="5" t="s">
        <v>42</v>
      </c>
    </row>
    <row r="372" customFormat="false" ht="15" hidden="false" customHeight="false" outlineLevel="0" collapsed="false">
      <c r="A372" s="5" t="n">
        <v>371</v>
      </c>
      <c r="B372" s="5" t="s">
        <v>472</v>
      </c>
      <c r="C372" s="5" t="s">
        <v>64</v>
      </c>
      <c r="D372" s="5" t="s">
        <v>19</v>
      </c>
      <c r="E372" s="5" t="s">
        <v>37</v>
      </c>
      <c r="F372" s="5" t="s">
        <v>385</v>
      </c>
      <c r="G372" s="5" t="s">
        <v>39</v>
      </c>
      <c r="H372" s="5" t="s">
        <v>40</v>
      </c>
      <c r="I372" s="5" t="s">
        <v>64</v>
      </c>
      <c r="J372" s="5" t="n">
        <v>2</v>
      </c>
      <c r="K372" s="5"/>
      <c r="L372" s="6"/>
      <c r="M372" s="6"/>
      <c r="N372" s="6"/>
      <c r="O372" s="6"/>
      <c r="P372" s="5" t="str">
        <f aca="false">IF(M372="","",ROUND(M372*IFERROR(INDEX(Weights!$B$2:$B$4,MATCH(G372,Weights!$A$2:$A$4,0)),0)*IFERROR(INDEX(Weights!$B$7:$B$11,MATCH(E372,Weights!$A$7:$A$11,0)),0)*IFERROR(INDEX(Weights!$B$14:$B$17,MATCH(TEXT(J372,"0"),Weights!$A$14:$A$17,0)),0)/(1+N(N372)/50),1))</f>
        <v/>
      </c>
      <c r="Q372" s="5" t="s">
        <v>42</v>
      </c>
    </row>
    <row r="373" customFormat="false" ht="15" hidden="false" customHeight="false" outlineLevel="0" collapsed="false">
      <c r="A373" s="5" t="n">
        <v>372</v>
      </c>
      <c r="B373" s="5" t="s">
        <v>473</v>
      </c>
      <c r="C373" s="5" t="s">
        <v>64</v>
      </c>
      <c r="D373" s="5" t="s">
        <v>19</v>
      </c>
      <c r="E373" s="5" t="s">
        <v>37</v>
      </c>
      <c r="F373" s="5" t="s">
        <v>385</v>
      </c>
      <c r="G373" s="5" t="s">
        <v>39</v>
      </c>
      <c r="H373" s="5" t="s">
        <v>40</v>
      </c>
      <c r="I373" s="5" t="s">
        <v>64</v>
      </c>
      <c r="J373" s="5" t="n">
        <v>2</v>
      </c>
      <c r="K373" s="5"/>
      <c r="L373" s="6"/>
      <c r="M373" s="6"/>
      <c r="N373" s="6"/>
      <c r="O373" s="6"/>
      <c r="P373" s="5" t="str">
        <f aca="false">IF(M373="","",ROUND(M373*IFERROR(INDEX(Weights!$B$2:$B$4,MATCH(G373,Weights!$A$2:$A$4,0)),0)*IFERROR(INDEX(Weights!$B$7:$B$11,MATCH(E373,Weights!$A$7:$A$11,0)),0)*IFERROR(INDEX(Weights!$B$14:$B$17,MATCH(TEXT(J373,"0"),Weights!$A$14:$A$17,0)),0)/(1+N(N373)/50),1))</f>
        <v/>
      </c>
      <c r="Q373" s="5" t="s">
        <v>42</v>
      </c>
    </row>
    <row r="374" customFormat="false" ht="15" hidden="false" customHeight="false" outlineLevel="0" collapsed="false">
      <c r="A374" s="5" t="n">
        <v>373</v>
      </c>
      <c r="B374" s="5" t="s">
        <v>474</v>
      </c>
      <c r="C374" s="5" t="s">
        <v>64</v>
      </c>
      <c r="D374" s="5" t="s">
        <v>19</v>
      </c>
      <c r="E374" s="5" t="s">
        <v>37</v>
      </c>
      <c r="F374" s="5" t="s">
        <v>385</v>
      </c>
      <c r="G374" s="5" t="s">
        <v>39</v>
      </c>
      <c r="H374" s="5" t="s">
        <v>40</v>
      </c>
      <c r="I374" s="5" t="s">
        <v>64</v>
      </c>
      <c r="J374" s="5" t="n">
        <v>2</v>
      </c>
      <c r="K374" s="5"/>
      <c r="L374" s="6"/>
      <c r="M374" s="6"/>
      <c r="N374" s="6"/>
      <c r="O374" s="6"/>
      <c r="P374" s="5" t="str">
        <f aca="false">IF(M374="","",ROUND(M374*IFERROR(INDEX(Weights!$B$2:$B$4,MATCH(G374,Weights!$A$2:$A$4,0)),0)*IFERROR(INDEX(Weights!$B$7:$B$11,MATCH(E374,Weights!$A$7:$A$11,0)),0)*IFERROR(INDEX(Weights!$B$14:$B$17,MATCH(TEXT(J374,"0"),Weights!$A$14:$A$17,0)),0)/(1+N(N374)/50),1))</f>
        <v/>
      </c>
      <c r="Q374" s="5" t="s">
        <v>42</v>
      </c>
    </row>
    <row r="375" customFormat="false" ht="15" hidden="false" customHeight="false" outlineLevel="0" collapsed="false">
      <c r="A375" s="5" t="n">
        <v>374</v>
      </c>
      <c r="B375" s="5" t="s">
        <v>475</v>
      </c>
      <c r="C375" s="5" t="s">
        <v>61</v>
      </c>
      <c r="D375" s="5" t="s">
        <v>19</v>
      </c>
      <c r="E375" s="5" t="s">
        <v>37</v>
      </c>
      <c r="F375" s="5" t="s">
        <v>385</v>
      </c>
      <c r="G375" s="5" t="s">
        <v>39</v>
      </c>
      <c r="H375" s="5" t="s">
        <v>40</v>
      </c>
      <c r="I375" s="5" t="s">
        <v>62</v>
      </c>
      <c r="J375" s="5" t="n">
        <v>2</v>
      </c>
      <c r="K375" s="5"/>
      <c r="L375" s="6"/>
      <c r="M375" s="6"/>
      <c r="N375" s="6"/>
      <c r="O375" s="6"/>
      <c r="P375" s="5" t="str">
        <f aca="false">IF(M375="","",ROUND(M375*IFERROR(INDEX(Weights!$B$2:$B$4,MATCH(G375,Weights!$A$2:$A$4,0)),0)*IFERROR(INDEX(Weights!$B$7:$B$11,MATCH(E375,Weights!$A$7:$A$11,0)),0)*IFERROR(INDEX(Weights!$B$14:$B$17,MATCH(TEXT(J375,"0"),Weights!$A$14:$A$17,0)),0)/(1+N(N375)/50),1))</f>
        <v/>
      </c>
      <c r="Q375" s="5" t="s">
        <v>42</v>
      </c>
    </row>
    <row r="376" customFormat="false" ht="15" hidden="false" customHeight="false" outlineLevel="0" collapsed="false">
      <c r="A376" s="5" t="n">
        <v>375</v>
      </c>
      <c r="B376" s="5" t="s">
        <v>476</v>
      </c>
      <c r="C376" s="5" t="s">
        <v>61</v>
      </c>
      <c r="D376" s="5" t="s">
        <v>19</v>
      </c>
      <c r="E376" s="5" t="s">
        <v>37</v>
      </c>
      <c r="F376" s="5" t="s">
        <v>385</v>
      </c>
      <c r="G376" s="5" t="s">
        <v>39</v>
      </c>
      <c r="H376" s="5" t="s">
        <v>40</v>
      </c>
      <c r="I376" s="5" t="s">
        <v>62</v>
      </c>
      <c r="J376" s="5" t="n">
        <v>2</v>
      </c>
      <c r="K376" s="5"/>
      <c r="L376" s="6"/>
      <c r="M376" s="6"/>
      <c r="N376" s="6"/>
      <c r="O376" s="6"/>
      <c r="P376" s="5" t="str">
        <f aca="false">IF(M376="","",ROUND(M376*IFERROR(INDEX(Weights!$B$2:$B$4,MATCH(G376,Weights!$A$2:$A$4,0)),0)*IFERROR(INDEX(Weights!$B$7:$B$11,MATCH(E376,Weights!$A$7:$A$11,0)),0)*IFERROR(INDEX(Weights!$B$14:$B$17,MATCH(TEXT(J376,"0"),Weights!$A$14:$A$17,0)),0)/(1+N(N376)/50),1))</f>
        <v/>
      </c>
      <c r="Q376" s="5" t="s">
        <v>42</v>
      </c>
    </row>
    <row r="377" customFormat="false" ht="15" hidden="false" customHeight="false" outlineLevel="0" collapsed="false">
      <c r="A377" s="5" t="n">
        <v>376</v>
      </c>
      <c r="B377" s="5" t="s">
        <v>477</v>
      </c>
      <c r="C377" s="5" t="s">
        <v>61</v>
      </c>
      <c r="D377" s="5" t="s">
        <v>19</v>
      </c>
      <c r="E377" s="5" t="s">
        <v>37</v>
      </c>
      <c r="F377" s="5" t="s">
        <v>385</v>
      </c>
      <c r="G377" s="5" t="s">
        <v>39</v>
      </c>
      <c r="H377" s="5" t="s">
        <v>40</v>
      </c>
      <c r="I377" s="5" t="s">
        <v>478</v>
      </c>
      <c r="J377" s="5" t="n">
        <v>2</v>
      </c>
      <c r="K377" s="5"/>
      <c r="L377" s="6"/>
      <c r="M377" s="6"/>
      <c r="N377" s="6"/>
      <c r="O377" s="6"/>
      <c r="P377" s="5" t="str">
        <f aca="false">IF(M377="","",ROUND(M377*IFERROR(INDEX(Weights!$B$2:$B$4,MATCH(G377,Weights!$A$2:$A$4,0)),0)*IFERROR(INDEX(Weights!$B$7:$B$11,MATCH(E377,Weights!$A$7:$A$11,0)),0)*IFERROR(INDEX(Weights!$B$14:$B$17,MATCH(TEXT(J377,"0"),Weights!$A$14:$A$17,0)),0)/(1+N(N377)/50),1))</f>
        <v/>
      </c>
      <c r="Q377" s="5" t="s">
        <v>42</v>
      </c>
    </row>
    <row r="378" customFormat="false" ht="15" hidden="false" customHeight="false" outlineLevel="0" collapsed="false">
      <c r="A378" s="5" t="n">
        <v>377</v>
      </c>
      <c r="B378" s="5" t="s">
        <v>479</v>
      </c>
      <c r="C378" s="5" t="s">
        <v>61</v>
      </c>
      <c r="D378" s="5" t="s">
        <v>19</v>
      </c>
      <c r="E378" s="5" t="s">
        <v>37</v>
      </c>
      <c r="F378" s="5" t="s">
        <v>385</v>
      </c>
      <c r="G378" s="5" t="s">
        <v>39</v>
      </c>
      <c r="H378" s="5" t="s">
        <v>40</v>
      </c>
      <c r="I378" s="5" t="s">
        <v>478</v>
      </c>
      <c r="J378" s="5" t="n">
        <v>2</v>
      </c>
      <c r="K378" s="5"/>
      <c r="L378" s="6"/>
      <c r="M378" s="6"/>
      <c r="N378" s="6"/>
      <c r="O378" s="6"/>
      <c r="P378" s="5" t="str">
        <f aca="false">IF(M378="","",ROUND(M378*IFERROR(INDEX(Weights!$B$2:$B$4,MATCH(G378,Weights!$A$2:$A$4,0)),0)*IFERROR(INDEX(Weights!$B$7:$B$11,MATCH(E378,Weights!$A$7:$A$11,0)),0)*IFERROR(INDEX(Weights!$B$14:$B$17,MATCH(TEXT(J378,"0"),Weights!$A$14:$A$17,0)),0)/(1+N(N378)/50),1))</f>
        <v/>
      </c>
      <c r="Q378" s="5" t="s">
        <v>42</v>
      </c>
    </row>
    <row r="379" customFormat="false" ht="15" hidden="false" customHeight="false" outlineLevel="0" collapsed="false">
      <c r="A379" s="5" t="n">
        <v>378</v>
      </c>
      <c r="B379" s="5" t="s">
        <v>480</v>
      </c>
      <c r="C379" s="5" t="s">
        <v>61</v>
      </c>
      <c r="D379" s="5" t="s">
        <v>403</v>
      </c>
      <c r="E379" s="5" t="s">
        <v>37</v>
      </c>
      <c r="F379" s="5" t="s">
        <v>385</v>
      </c>
      <c r="G379" s="5" t="s">
        <v>404</v>
      </c>
      <c r="H379" s="5" t="s">
        <v>405</v>
      </c>
      <c r="I379" s="5" t="s">
        <v>406</v>
      </c>
      <c r="J379" s="5" t="n">
        <v>2</v>
      </c>
      <c r="K379" s="5"/>
      <c r="L379" s="6"/>
      <c r="M379" s="6"/>
      <c r="N379" s="6"/>
      <c r="O379" s="6"/>
      <c r="P379" s="5" t="str">
        <f aca="false">IF(M379="","",ROUND(M379*IFERROR(INDEX(Weights!$B$2:$B$4,MATCH(G379,Weights!$A$2:$A$4,0)),0)*IFERROR(INDEX(Weights!$B$7:$B$11,MATCH(E379,Weights!$A$7:$A$11,0)),0)*IFERROR(INDEX(Weights!$B$14:$B$17,MATCH(TEXT(J379,"0"),Weights!$A$14:$A$17,0)),0)/(1+N(N379)/50),1))</f>
        <v/>
      </c>
      <c r="Q379" s="5" t="s">
        <v>42</v>
      </c>
    </row>
    <row r="380" customFormat="false" ht="15" hidden="false" customHeight="false" outlineLevel="0" collapsed="false">
      <c r="A380" s="5" t="n">
        <v>379</v>
      </c>
      <c r="B380" s="5" t="s">
        <v>481</v>
      </c>
      <c r="C380" s="5" t="s">
        <v>61</v>
      </c>
      <c r="D380" s="5" t="s">
        <v>19</v>
      </c>
      <c r="E380" s="5" t="s">
        <v>37</v>
      </c>
      <c r="F380" s="5" t="s">
        <v>385</v>
      </c>
      <c r="G380" s="5" t="s">
        <v>39</v>
      </c>
      <c r="H380" s="5" t="s">
        <v>395</v>
      </c>
      <c r="I380" s="5" t="s">
        <v>478</v>
      </c>
      <c r="J380" s="5" t="n">
        <v>2</v>
      </c>
      <c r="K380" s="5"/>
      <c r="L380" s="6"/>
      <c r="M380" s="6"/>
      <c r="N380" s="6"/>
      <c r="O380" s="6"/>
      <c r="P380" s="5" t="str">
        <f aca="false">IF(M380="","",ROUND(M380*IFERROR(INDEX(Weights!$B$2:$B$4,MATCH(G380,Weights!$A$2:$A$4,0)),0)*IFERROR(INDEX(Weights!$B$7:$B$11,MATCH(E380,Weights!$A$7:$A$11,0)),0)*IFERROR(INDEX(Weights!$B$14:$B$17,MATCH(TEXT(J380,"0"),Weights!$A$14:$A$17,0)),0)/(1+N(N380)/50),1))</f>
        <v/>
      </c>
      <c r="Q380" s="5" t="s">
        <v>42</v>
      </c>
    </row>
    <row r="381" customFormat="false" ht="15" hidden="false" customHeight="false" outlineLevel="0" collapsed="false">
      <c r="A381" s="5" t="n">
        <v>380</v>
      </c>
      <c r="B381" s="5" t="s">
        <v>482</v>
      </c>
      <c r="C381" s="5" t="s">
        <v>66</v>
      </c>
      <c r="D381" s="5" t="s">
        <v>19</v>
      </c>
      <c r="E381" s="5" t="s">
        <v>37</v>
      </c>
      <c r="F381" s="5" t="s">
        <v>385</v>
      </c>
      <c r="G381" s="5" t="s">
        <v>39</v>
      </c>
      <c r="H381" s="5" t="s">
        <v>40</v>
      </c>
      <c r="I381" s="5" t="s">
        <v>67</v>
      </c>
      <c r="J381" s="5" t="n">
        <v>3</v>
      </c>
      <c r="K381" s="5"/>
      <c r="L381" s="6"/>
      <c r="M381" s="6"/>
      <c r="N381" s="6"/>
      <c r="O381" s="6"/>
      <c r="P381" s="5" t="str">
        <f aca="false">IF(M381="","",ROUND(M381*IFERROR(INDEX(Weights!$B$2:$B$4,MATCH(G381,Weights!$A$2:$A$4,0)),0)*IFERROR(INDEX(Weights!$B$7:$B$11,MATCH(E381,Weights!$A$7:$A$11,0)),0)*IFERROR(INDEX(Weights!$B$14:$B$17,MATCH(TEXT(J381,"0"),Weights!$A$14:$A$17,0)),0)/(1+N(N381)/50),1))</f>
        <v/>
      </c>
      <c r="Q381" s="5" t="s">
        <v>42</v>
      </c>
    </row>
    <row r="382" customFormat="false" ht="15" hidden="false" customHeight="false" outlineLevel="0" collapsed="false">
      <c r="A382" s="5" t="n">
        <v>381</v>
      </c>
      <c r="B382" s="5" t="s">
        <v>483</v>
      </c>
      <c r="C382" s="5" t="s">
        <v>66</v>
      </c>
      <c r="D382" s="5" t="s">
        <v>388</v>
      </c>
      <c r="E382" s="5" t="s">
        <v>37</v>
      </c>
      <c r="F382" s="5" t="s">
        <v>385</v>
      </c>
      <c r="G382" s="5" t="s">
        <v>39</v>
      </c>
      <c r="H382" s="5" t="s">
        <v>395</v>
      </c>
      <c r="I382" s="5" t="s">
        <v>67</v>
      </c>
      <c r="J382" s="5" t="n">
        <v>3</v>
      </c>
      <c r="K382" s="5"/>
      <c r="L382" s="6"/>
      <c r="M382" s="6"/>
      <c r="N382" s="6"/>
      <c r="O382" s="6"/>
      <c r="P382" s="5" t="str">
        <f aca="false">IF(M382="","",ROUND(M382*IFERROR(INDEX(Weights!$B$2:$B$4,MATCH(G382,Weights!$A$2:$A$4,0)),0)*IFERROR(INDEX(Weights!$B$7:$B$11,MATCH(E382,Weights!$A$7:$A$11,0)),0)*IFERROR(INDEX(Weights!$B$14:$B$17,MATCH(TEXT(J382,"0"),Weights!$A$14:$A$17,0)),0)/(1+N(N382)/50),1))</f>
        <v/>
      </c>
      <c r="Q382" s="5" t="s">
        <v>42</v>
      </c>
    </row>
    <row r="383" customFormat="false" ht="15" hidden="false" customHeight="false" outlineLevel="0" collapsed="false">
      <c r="A383" s="5" t="n">
        <v>382</v>
      </c>
      <c r="B383" s="5" t="s">
        <v>484</v>
      </c>
      <c r="C383" s="5" t="s">
        <v>69</v>
      </c>
      <c r="D383" s="5" t="s">
        <v>19</v>
      </c>
      <c r="E383" s="5" t="s">
        <v>37</v>
      </c>
      <c r="F383" s="5" t="s">
        <v>385</v>
      </c>
      <c r="G383" s="5" t="s">
        <v>39</v>
      </c>
      <c r="H383" s="5" t="s">
        <v>40</v>
      </c>
      <c r="I383" s="5" t="s">
        <v>70</v>
      </c>
      <c r="J383" s="5" t="n">
        <v>3</v>
      </c>
      <c r="K383" s="5"/>
      <c r="L383" s="6"/>
      <c r="M383" s="6"/>
      <c r="N383" s="6"/>
      <c r="O383" s="6"/>
      <c r="P383" s="5" t="str">
        <f aca="false">IF(M383="","",ROUND(M383*IFERROR(INDEX(Weights!$B$2:$B$4,MATCH(G383,Weights!$A$2:$A$4,0)),0)*IFERROR(INDEX(Weights!$B$7:$B$11,MATCH(E383,Weights!$A$7:$A$11,0)),0)*IFERROR(INDEX(Weights!$B$14:$B$17,MATCH(TEXT(J383,"0"),Weights!$A$14:$A$17,0)),0)/(1+N(N383)/50),1))</f>
        <v/>
      </c>
      <c r="Q383" s="5" t="s">
        <v>42</v>
      </c>
    </row>
    <row r="384" customFormat="false" ht="15" hidden="false" customHeight="false" outlineLevel="0" collapsed="false">
      <c r="A384" s="5" t="n">
        <v>383</v>
      </c>
      <c r="B384" s="5" t="s">
        <v>485</v>
      </c>
      <c r="C384" s="5" t="s">
        <v>69</v>
      </c>
      <c r="D384" s="5" t="s">
        <v>19</v>
      </c>
      <c r="E384" s="5" t="s">
        <v>37</v>
      </c>
      <c r="F384" s="5" t="s">
        <v>385</v>
      </c>
      <c r="G384" s="5" t="s">
        <v>39</v>
      </c>
      <c r="H384" s="5" t="s">
        <v>40</v>
      </c>
      <c r="I384" s="5" t="s">
        <v>70</v>
      </c>
      <c r="J384" s="5" t="n">
        <v>3</v>
      </c>
      <c r="K384" s="5"/>
      <c r="L384" s="6"/>
      <c r="M384" s="6"/>
      <c r="N384" s="6"/>
      <c r="O384" s="6"/>
      <c r="P384" s="5" t="str">
        <f aca="false">IF(M384="","",ROUND(M384*IFERROR(INDEX(Weights!$B$2:$B$4,MATCH(G384,Weights!$A$2:$A$4,0)),0)*IFERROR(INDEX(Weights!$B$7:$B$11,MATCH(E384,Weights!$A$7:$A$11,0)),0)*IFERROR(INDEX(Weights!$B$14:$B$17,MATCH(TEXT(J384,"0"),Weights!$A$14:$A$17,0)),0)/(1+N(N384)/50),1))</f>
        <v/>
      </c>
      <c r="Q384" s="5" t="s">
        <v>42</v>
      </c>
    </row>
    <row r="385" customFormat="false" ht="15" hidden="false" customHeight="false" outlineLevel="0" collapsed="false">
      <c r="A385" s="5" t="n">
        <v>384</v>
      </c>
      <c r="B385" s="5" t="s">
        <v>486</v>
      </c>
      <c r="C385" s="5" t="s">
        <v>69</v>
      </c>
      <c r="D385" s="5" t="s">
        <v>403</v>
      </c>
      <c r="E385" s="5" t="s">
        <v>37</v>
      </c>
      <c r="F385" s="5" t="s">
        <v>385</v>
      </c>
      <c r="G385" s="5" t="s">
        <v>404</v>
      </c>
      <c r="H385" s="5" t="s">
        <v>405</v>
      </c>
      <c r="I385" s="5" t="s">
        <v>406</v>
      </c>
      <c r="J385" s="5" t="n">
        <v>3</v>
      </c>
      <c r="K385" s="5"/>
      <c r="L385" s="6"/>
      <c r="M385" s="6"/>
      <c r="N385" s="6"/>
      <c r="O385" s="6"/>
      <c r="P385" s="5" t="str">
        <f aca="false">IF(M385="","",ROUND(M385*IFERROR(INDEX(Weights!$B$2:$B$4,MATCH(G385,Weights!$A$2:$A$4,0)),0)*IFERROR(INDEX(Weights!$B$7:$B$11,MATCH(E385,Weights!$A$7:$A$11,0)),0)*IFERROR(INDEX(Weights!$B$14:$B$17,MATCH(TEXT(J385,"0"),Weights!$A$14:$A$17,0)),0)/(1+N(N385)/50),1))</f>
        <v/>
      </c>
      <c r="Q385" s="5" t="s">
        <v>42</v>
      </c>
    </row>
    <row r="386" customFormat="false" ht="15" hidden="false" customHeight="false" outlineLevel="0" collapsed="false">
      <c r="A386" s="5" t="n">
        <v>385</v>
      </c>
      <c r="B386" s="5" t="s">
        <v>487</v>
      </c>
      <c r="C386" s="5" t="s">
        <v>488</v>
      </c>
      <c r="D386" s="5" t="s">
        <v>489</v>
      </c>
      <c r="E386" s="5" t="s">
        <v>37</v>
      </c>
      <c r="F386" s="5" t="s">
        <v>385</v>
      </c>
      <c r="G386" s="5" t="s">
        <v>39</v>
      </c>
      <c r="H386" s="5" t="s">
        <v>40</v>
      </c>
      <c r="I386" s="5" t="s">
        <v>490</v>
      </c>
      <c r="J386" s="5" t="n">
        <v>1</v>
      </c>
      <c r="K386" s="5"/>
      <c r="L386" s="6"/>
      <c r="M386" s="6"/>
      <c r="N386" s="6"/>
      <c r="O386" s="6"/>
      <c r="P386" s="5" t="str">
        <f aca="false">IF(M386="","",ROUND(M386*IFERROR(INDEX(Weights!$B$2:$B$4,MATCH(G386,Weights!$A$2:$A$4,0)),0)*IFERROR(INDEX(Weights!$B$7:$B$11,MATCH(E386,Weights!$A$7:$A$11,0)),0)*IFERROR(INDEX(Weights!$B$14:$B$17,MATCH(TEXT(J386,"0"),Weights!$A$14:$A$17,0)),0)/(1+N(N386)/50),1))</f>
        <v/>
      </c>
      <c r="Q386" s="5" t="s">
        <v>42</v>
      </c>
    </row>
    <row r="387" customFormat="false" ht="15" hidden="false" customHeight="false" outlineLevel="0" collapsed="false">
      <c r="A387" s="5" t="n">
        <v>386</v>
      </c>
      <c r="B387" s="5" t="s">
        <v>491</v>
      </c>
      <c r="C387" s="5" t="s">
        <v>488</v>
      </c>
      <c r="D387" s="5" t="s">
        <v>489</v>
      </c>
      <c r="E387" s="5" t="s">
        <v>37</v>
      </c>
      <c r="F387" s="5" t="s">
        <v>385</v>
      </c>
      <c r="G387" s="5" t="s">
        <v>39</v>
      </c>
      <c r="H387" s="5" t="s">
        <v>40</v>
      </c>
      <c r="I387" s="5" t="s">
        <v>490</v>
      </c>
      <c r="J387" s="5" t="n">
        <v>1</v>
      </c>
      <c r="K387" s="5"/>
      <c r="L387" s="6"/>
      <c r="M387" s="6"/>
      <c r="N387" s="6"/>
      <c r="O387" s="6"/>
      <c r="P387" s="5" t="str">
        <f aca="false">IF(M387="","",ROUND(M387*IFERROR(INDEX(Weights!$B$2:$B$4,MATCH(G387,Weights!$A$2:$A$4,0)),0)*IFERROR(INDEX(Weights!$B$7:$B$11,MATCH(E387,Weights!$A$7:$A$11,0)),0)*IFERROR(INDEX(Weights!$B$14:$B$17,MATCH(TEXT(J387,"0"),Weights!$A$14:$A$17,0)),0)/(1+N(N387)/50),1))</f>
        <v/>
      </c>
      <c r="Q387" s="5" t="s">
        <v>42</v>
      </c>
    </row>
    <row r="388" customFormat="false" ht="15" hidden="false" customHeight="false" outlineLevel="0" collapsed="false">
      <c r="A388" s="5" t="n">
        <v>387</v>
      </c>
      <c r="B388" s="5" t="s">
        <v>492</v>
      </c>
      <c r="C388" s="5" t="s">
        <v>488</v>
      </c>
      <c r="D388" s="5" t="s">
        <v>489</v>
      </c>
      <c r="E388" s="5" t="s">
        <v>37</v>
      </c>
      <c r="F388" s="5" t="s">
        <v>385</v>
      </c>
      <c r="G388" s="5" t="s">
        <v>39</v>
      </c>
      <c r="H388" s="5" t="s">
        <v>40</v>
      </c>
      <c r="I388" s="5" t="s">
        <v>490</v>
      </c>
      <c r="J388" s="5" t="n">
        <v>1</v>
      </c>
      <c r="K388" s="5"/>
      <c r="L388" s="6"/>
      <c r="M388" s="6"/>
      <c r="N388" s="6"/>
      <c r="O388" s="6"/>
      <c r="P388" s="5" t="str">
        <f aca="false">IF(M388="","",ROUND(M388*IFERROR(INDEX(Weights!$B$2:$B$4,MATCH(G388,Weights!$A$2:$A$4,0)),0)*IFERROR(INDEX(Weights!$B$7:$B$11,MATCH(E388,Weights!$A$7:$A$11,0)),0)*IFERROR(INDEX(Weights!$B$14:$B$17,MATCH(TEXT(J388,"0"),Weights!$A$14:$A$17,0)),0)/(1+N(N388)/50),1))</f>
        <v/>
      </c>
      <c r="Q388" s="5" t="s">
        <v>42</v>
      </c>
    </row>
    <row r="389" customFormat="false" ht="15" hidden="false" customHeight="false" outlineLevel="0" collapsed="false">
      <c r="A389" s="5" t="n">
        <v>388</v>
      </c>
      <c r="B389" s="5" t="s">
        <v>493</v>
      </c>
      <c r="C389" s="5" t="s">
        <v>488</v>
      </c>
      <c r="D389" s="5" t="s">
        <v>489</v>
      </c>
      <c r="E389" s="5" t="s">
        <v>37</v>
      </c>
      <c r="F389" s="5" t="s">
        <v>385</v>
      </c>
      <c r="G389" s="5" t="s">
        <v>39</v>
      </c>
      <c r="H389" s="5" t="s">
        <v>40</v>
      </c>
      <c r="I389" s="5" t="s">
        <v>490</v>
      </c>
      <c r="J389" s="5" t="n">
        <v>1</v>
      </c>
      <c r="K389" s="5"/>
      <c r="L389" s="6"/>
      <c r="M389" s="6"/>
      <c r="N389" s="6"/>
      <c r="O389" s="6"/>
      <c r="P389" s="5" t="str">
        <f aca="false">IF(M389="","",ROUND(M389*IFERROR(INDEX(Weights!$B$2:$B$4,MATCH(G389,Weights!$A$2:$A$4,0)),0)*IFERROR(INDEX(Weights!$B$7:$B$11,MATCH(E389,Weights!$A$7:$A$11,0)),0)*IFERROR(INDEX(Weights!$B$14:$B$17,MATCH(TEXT(J389,"0"),Weights!$A$14:$A$17,0)),0)/(1+N(N389)/50),1))</f>
        <v/>
      </c>
      <c r="Q389" s="5" t="s">
        <v>42</v>
      </c>
    </row>
    <row r="390" customFormat="false" ht="15" hidden="false" customHeight="false" outlineLevel="0" collapsed="false">
      <c r="A390" s="5" t="n">
        <v>389</v>
      </c>
      <c r="B390" s="5" t="s">
        <v>494</v>
      </c>
      <c r="C390" s="5" t="s">
        <v>488</v>
      </c>
      <c r="D390" s="5" t="s">
        <v>489</v>
      </c>
      <c r="E390" s="5" t="s">
        <v>37</v>
      </c>
      <c r="F390" s="5" t="s">
        <v>385</v>
      </c>
      <c r="G390" s="5" t="s">
        <v>39</v>
      </c>
      <c r="H390" s="5" t="s">
        <v>40</v>
      </c>
      <c r="I390" s="5" t="s">
        <v>490</v>
      </c>
      <c r="J390" s="5" t="n">
        <v>2</v>
      </c>
      <c r="K390" s="5"/>
      <c r="L390" s="6"/>
      <c r="M390" s="6"/>
      <c r="N390" s="6"/>
      <c r="O390" s="6"/>
      <c r="P390" s="5" t="str">
        <f aca="false">IF(M390="","",ROUND(M390*IFERROR(INDEX(Weights!$B$2:$B$4,MATCH(G390,Weights!$A$2:$A$4,0)),0)*IFERROR(INDEX(Weights!$B$7:$B$11,MATCH(E390,Weights!$A$7:$A$11,0)),0)*IFERROR(INDEX(Weights!$B$14:$B$17,MATCH(TEXT(J390,"0"),Weights!$A$14:$A$17,0)),0)/(1+N(N390)/50),1))</f>
        <v/>
      </c>
      <c r="Q390" s="5" t="s">
        <v>42</v>
      </c>
    </row>
    <row r="391" customFormat="false" ht="15" hidden="false" customHeight="false" outlineLevel="0" collapsed="false">
      <c r="A391" s="5" t="n">
        <v>390</v>
      </c>
      <c r="B391" s="5" t="s">
        <v>495</v>
      </c>
      <c r="C391" s="5" t="s">
        <v>496</v>
      </c>
      <c r="D391" s="5" t="s">
        <v>489</v>
      </c>
      <c r="E391" s="5" t="s">
        <v>37</v>
      </c>
      <c r="F391" s="5" t="s">
        <v>385</v>
      </c>
      <c r="G391" s="5" t="s">
        <v>39</v>
      </c>
      <c r="H391" s="5" t="s">
        <v>40</v>
      </c>
      <c r="I391" s="5" t="s">
        <v>497</v>
      </c>
      <c r="J391" s="5" t="n">
        <v>1</v>
      </c>
      <c r="K391" s="5"/>
      <c r="L391" s="6"/>
      <c r="M391" s="6"/>
      <c r="N391" s="6"/>
      <c r="O391" s="6"/>
      <c r="P391" s="5" t="str">
        <f aca="false">IF(M391="","",ROUND(M391*IFERROR(INDEX(Weights!$B$2:$B$4,MATCH(G391,Weights!$A$2:$A$4,0)),0)*IFERROR(INDEX(Weights!$B$7:$B$11,MATCH(E391,Weights!$A$7:$A$11,0)),0)*IFERROR(INDEX(Weights!$B$14:$B$17,MATCH(TEXT(J391,"0"),Weights!$A$14:$A$17,0)),0)/(1+N(N391)/50),1))</f>
        <v/>
      </c>
      <c r="Q391" s="5" t="s">
        <v>42</v>
      </c>
    </row>
    <row r="392" customFormat="false" ht="15" hidden="false" customHeight="false" outlineLevel="0" collapsed="false">
      <c r="A392" s="5" t="n">
        <v>391</v>
      </c>
      <c r="B392" s="5" t="s">
        <v>498</v>
      </c>
      <c r="C392" s="5" t="s">
        <v>496</v>
      </c>
      <c r="D392" s="5" t="s">
        <v>489</v>
      </c>
      <c r="E392" s="5" t="s">
        <v>37</v>
      </c>
      <c r="F392" s="5" t="s">
        <v>385</v>
      </c>
      <c r="G392" s="5" t="s">
        <v>39</v>
      </c>
      <c r="H392" s="5" t="s">
        <v>40</v>
      </c>
      <c r="I392" s="5" t="s">
        <v>497</v>
      </c>
      <c r="J392" s="5" t="n">
        <v>1</v>
      </c>
      <c r="K392" s="5"/>
      <c r="L392" s="6"/>
      <c r="M392" s="6"/>
      <c r="N392" s="6"/>
      <c r="O392" s="6"/>
      <c r="P392" s="5" t="str">
        <f aca="false">IF(M392="","",ROUND(M392*IFERROR(INDEX(Weights!$B$2:$B$4,MATCH(G392,Weights!$A$2:$A$4,0)),0)*IFERROR(INDEX(Weights!$B$7:$B$11,MATCH(E392,Weights!$A$7:$A$11,0)),0)*IFERROR(INDEX(Weights!$B$14:$B$17,MATCH(TEXT(J392,"0"),Weights!$A$14:$A$17,0)),0)/(1+N(N392)/50),1))</f>
        <v/>
      </c>
      <c r="Q392" s="5" t="s">
        <v>42</v>
      </c>
    </row>
    <row r="393" customFormat="false" ht="15" hidden="false" customHeight="false" outlineLevel="0" collapsed="false">
      <c r="A393" s="5" t="n">
        <v>392</v>
      </c>
      <c r="B393" s="5" t="s">
        <v>499</v>
      </c>
      <c r="C393" s="5" t="s">
        <v>496</v>
      </c>
      <c r="D393" s="5" t="s">
        <v>489</v>
      </c>
      <c r="E393" s="5" t="s">
        <v>37</v>
      </c>
      <c r="F393" s="5" t="s">
        <v>385</v>
      </c>
      <c r="G393" s="5" t="s">
        <v>39</v>
      </c>
      <c r="H393" s="5" t="s">
        <v>40</v>
      </c>
      <c r="I393" s="5" t="s">
        <v>497</v>
      </c>
      <c r="J393" s="5" t="n">
        <v>1</v>
      </c>
      <c r="K393" s="5"/>
      <c r="L393" s="6"/>
      <c r="M393" s="6"/>
      <c r="N393" s="6"/>
      <c r="O393" s="6"/>
      <c r="P393" s="5" t="str">
        <f aca="false">IF(M393="","",ROUND(M393*IFERROR(INDEX(Weights!$B$2:$B$4,MATCH(G393,Weights!$A$2:$A$4,0)),0)*IFERROR(INDEX(Weights!$B$7:$B$11,MATCH(E393,Weights!$A$7:$A$11,0)),0)*IFERROR(INDEX(Weights!$B$14:$B$17,MATCH(TEXT(J393,"0"),Weights!$A$14:$A$17,0)),0)/(1+N(N393)/50),1))</f>
        <v/>
      </c>
      <c r="Q393" s="5" t="s">
        <v>42</v>
      </c>
    </row>
    <row r="394" customFormat="false" ht="15" hidden="false" customHeight="false" outlineLevel="0" collapsed="false">
      <c r="A394" s="5" t="n">
        <v>393</v>
      </c>
      <c r="B394" s="5" t="s">
        <v>500</v>
      </c>
      <c r="C394" s="5" t="s">
        <v>496</v>
      </c>
      <c r="D394" s="5" t="s">
        <v>489</v>
      </c>
      <c r="E394" s="5" t="s">
        <v>37</v>
      </c>
      <c r="F394" s="5" t="s">
        <v>385</v>
      </c>
      <c r="G394" s="5" t="s">
        <v>39</v>
      </c>
      <c r="H394" s="5" t="s">
        <v>40</v>
      </c>
      <c r="I394" s="5" t="s">
        <v>497</v>
      </c>
      <c r="J394" s="5" t="n">
        <v>1</v>
      </c>
      <c r="K394" s="5"/>
      <c r="L394" s="6"/>
      <c r="M394" s="6"/>
      <c r="N394" s="6"/>
      <c r="O394" s="6"/>
      <c r="P394" s="5" t="str">
        <f aca="false">IF(M394="","",ROUND(M394*IFERROR(INDEX(Weights!$B$2:$B$4,MATCH(G394,Weights!$A$2:$A$4,0)),0)*IFERROR(INDEX(Weights!$B$7:$B$11,MATCH(E394,Weights!$A$7:$A$11,0)),0)*IFERROR(INDEX(Weights!$B$14:$B$17,MATCH(TEXT(J394,"0"),Weights!$A$14:$A$17,0)),0)/(1+N(N394)/50),1))</f>
        <v/>
      </c>
      <c r="Q394" s="5" t="s">
        <v>42</v>
      </c>
    </row>
    <row r="395" customFormat="false" ht="15" hidden="false" customHeight="false" outlineLevel="0" collapsed="false">
      <c r="A395" s="5" t="n">
        <v>394</v>
      </c>
      <c r="B395" s="5" t="s">
        <v>501</v>
      </c>
      <c r="C395" s="5" t="s">
        <v>496</v>
      </c>
      <c r="D395" s="5" t="s">
        <v>489</v>
      </c>
      <c r="E395" s="5" t="s">
        <v>37</v>
      </c>
      <c r="F395" s="5" t="s">
        <v>385</v>
      </c>
      <c r="G395" s="5" t="s">
        <v>39</v>
      </c>
      <c r="H395" s="5" t="s">
        <v>40</v>
      </c>
      <c r="I395" s="5" t="s">
        <v>497</v>
      </c>
      <c r="J395" s="5" t="n">
        <v>1</v>
      </c>
      <c r="K395" s="5"/>
      <c r="L395" s="6"/>
      <c r="M395" s="6"/>
      <c r="N395" s="6"/>
      <c r="O395" s="6"/>
      <c r="P395" s="5" t="str">
        <f aca="false">IF(M395="","",ROUND(M395*IFERROR(INDEX(Weights!$B$2:$B$4,MATCH(G395,Weights!$A$2:$A$4,0)),0)*IFERROR(INDEX(Weights!$B$7:$B$11,MATCH(E395,Weights!$A$7:$A$11,0)),0)*IFERROR(INDEX(Weights!$B$14:$B$17,MATCH(TEXT(J395,"0"),Weights!$A$14:$A$17,0)),0)/(1+N(N395)/50),1))</f>
        <v/>
      </c>
      <c r="Q395" s="5" t="s">
        <v>42</v>
      </c>
    </row>
    <row r="396" customFormat="false" ht="15" hidden="false" customHeight="false" outlineLevel="0" collapsed="false">
      <c r="A396" s="5" t="n">
        <v>395</v>
      </c>
      <c r="B396" s="5" t="s">
        <v>502</v>
      </c>
      <c r="C396" s="5" t="s">
        <v>503</v>
      </c>
      <c r="D396" s="5" t="s">
        <v>489</v>
      </c>
      <c r="E396" s="5" t="s">
        <v>37</v>
      </c>
      <c r="F396" s="5" t="s">
        <v>385</v>
      </c>
      <c r="G396" s="5" t="s">
        <v>39</v>
      </c>
      <c r="H396" s="5" t="s">
        <v>40</v>
      </c>
      <c r="I396" s="5" t="s">
        <v>490</v>
      </c>
      <c r="J396" s="5" t="n">
        <v>1</v>
      </c>
      <c r="K396" s="5"/>
      <c r="L396" s="6"/>
      <c r="M396" s="6"/>
      <c r="N396" s="6"/>
      <c r="O396" s="6"/>
      <c r="P396" s="5" t="str">
        <f aca="false">IF(M396="","",ROUND(M396*IFERROR(INDEX(Weights!$B$2:$B$4,MATCH(G396,Weights!$A$2:$A$4,0)),0)*IFERROR(INDEX(Weights!$B$7:$B$11,MATCH(E396,Weights!$A$7:$A$11,0)),0)*IFERROR(INDEX(Weights!$B$14:$B$17,MATCH(TEXT(J396,"0"),Weights!$A$14:$A$17,0)),0)/(1+N(N396)/50),1))</f>
        <v/>
      </c>
      <c r="Q396" s="5" t="s">
        <v>42</v>
      </c>
    </row>
    <row r="397" customFormat="false" ht="15" hidden="false" customHeight="false" outlineLevel="0" collapsed="false">
      <c r="A397" s="5" t="n">
        <v>396</v>
      </c>
      <c r="B397" s="5" t="s">
        <v>504</v>
      </c>
      <c r="C397" s="5" t="s">
        <v>505</v>
      </c>
      <c r="D397" s="5" t="s">
        <v>489</v>
      </c>
      <c r="E397" s="5" t="s">
        <v>37</v>
      </c>
      <c r="F397" s="5" t="s">
        <v>385</v>
      </c>
      <c r="G397" s="5" t="s">
        <v>39</v>
      </c>
      <c r="H397" s="5" t="s">
        <v>40</v>
      </c>
      <c r="I397" s="5" t="s">
        <v>506</v>
      </c>
      <c r="J397" s="5" t="n">
        <v>2</v>
      </c>
      <c r="K397" s="5"/>
      <c r="L397" s="6"/>
      <c r="M397" s="6"/>
      <c r="N397" s="6"/>
      <c r="O397" s="6"/>
      <c r="P397" s="5" t="str">
        <f aca="false">IF(M397="","",ROUND(M397*IFERROR(INDEX(Weights!$B$2:$B$4,MATCH(G397,Weights!$A$2:$A$4,0)),0)*IFERROR(INDEX(Weights!$B$7:$B$11,MATCH(E397,Weights!$A$7:$A$11,0)),0)*IFERROR(INDEX(Weights!$B$14:$B$17,MATCH(TEXT(J397,"0"),Weights!$A$14:$A$17,0)),0)/(1+N(N397)/50),1))</f>
        <v/>
      </c>
      <c r="Q397" s="5" t="s">
        <v>42</v>
      </c>
    </row>
    <row r="398" customFormat="false" ht="15" hidden="false" customHeight="false" outlineLevel="0" collapsed="false">
      <c r="A398" s="5" t="n">
        <v>397</v>
      </c>
      <c r="B398" s="5" t="s">
        <v>507</v>
      </c>
      <c r="C398" s="5" t="s">
        <v>505</v>
      </c>
      <c r="D398" s="5" t="s">
        <v>489</v>
      </c>
      <c r="E398" s="5" t="s">
        <v>37</v>
      </c>
      <c r="F398" s="5" t="s">
        <v>385</v>
      </c>
      <c r="G398" s="5" t="s">
        <v>39</v>
      </c>
      <c r="H398" s="5" t="s">
        <v>40</v>
      </c>
      <c r="I398" s="5" t="s">
        <v>506</v>
      </c>
      <c r="J398" s="5" t="n">
        <v>2</v>
      </c>
      <c r="K398" s="5"/>
      <c r="L398" s="6"/>
      <c r="M398" s="6"/>
      <c r="N398" s="6"/>
      <c r="O398" s="6"/>
      <c r="P398" s="5" t="str">
        <f aca="false">IF(M398="","",ROUND(M398*IFERROR(INDEX(Weights!$B$2:$B$4,MATCH(G398,Weights!$A$2:$A$4,0)),0)*IFERROR(INDEX(Weights!$B$7:$B$11,MATCH(E398,Weights!$A$7:$A$11,0)),0)*IFERROR(INDEX(Weights!$B$14:$B$17,MATCH(TEXT(J398,"0"),Weights!$A$14:$A$17,0)),0)/(1+N(N398)/50),1))</f>
        <v/>
      </c>
      <c r="Q398" s="5" t="s">
        <v>42</v>
      </c>
    </row>
    <row r="399" customFormat="false" ht="15" hidden="false" customHeight="false" outlineLevel="0" collapsed="false">
      <c r="A399" s="5" t="n">
        <v>398</v>
      </c>
      <c r="B399" s="5" t="s">
        <v>508</v>
      </c>
      <c r="C399" s="5" t="s">
        <v>505</v>
      </c>
      <c r="D399" s="5" t="s">
        <v>489</v>
      </c>
      <c r="E399" s="5" t="s">
        <v>37</v>
      </c>
      <c r="F399" s="5" t="s">
        <v>385</v>
      </c>
      <c r="G399" s="5" t="s">
        <v>39</v>
      </c>
      <c r="H399" s="5" t="s">
        <v>40</v>
      </c>
      <c r="I399" s="5" t="s">
        <v>506</v>
      </c>
      <c r="J399" s="5" t="n">
        <v>2</v>
      </c>
      <c r="K399" s="5"/>
      <c r="L399" s="6"/>
      <c r="M399" s="6"/>
      <c r="N399" s="6"/>
      <c r="O399" s="6"/>
      <c r="P399" s="5" t="str">
        <f aca="false">IF(M399="","",ROUND(M399*IFERROR(INDEX(Weights!$B$2:$B$4,MATCH(G399,Weights!$A$2:$A$4,0)),0)*IFERROR(INDEX(Weights!$B$7:$B$11,MATCH(E399,Weights!$A$7:$A$11,0)),0)*IFERROR(INDEX(Weights!$B$14:$B$17,MATCH(TEXT(J399,"0"),Weights!$A$14:$A$17,0)),0)/(1+N(N399)/50),1))</f>
        <v/>
      </c>
      <c r="Q399" s="5" t="s">
        <v>42</v>
      </c>
    </row>
    <row r="400" customFormat="false" ht="15" hidden="false" customHeight="false" outlineLevel="0" collapsed="false">
      <c r="A400" s="5" t="n">
        <v>399</v>
      </c>
      <c r="B400" s="5" t="s">
        <v>509</v>
      </c>
      <c r="C400" s="5" t="s">
        <v>505</v>
      </c>
      <c r="D400" s="5" t="s">
        <v>489</v>
      </c>
      <c r="E400" s="5" t="s">
        <v>37</v>
      </c>
      <c r="F400" s="5" t="s">
        <v>385</v>
      </c>
      <c r="G400" s="5" t="s">
        <v>39</v>
      </c>
      <c r="H400" s="5" t="s">
        <v>40</v>
      </c>
      <c r="I400" s="5" t="s">
        <v>506</v>
      </c>
      <c r="J400" s="5" t="n">
        <v>2</v>
      </c>
      <c r="K400" s="5"/>
      <c r="L400" s="6"/>
      <c r="M400" s="6"/>
      <c r="N400" s="6"/>
      <c r="O400" s="6"/>
      <c r="P400" s="5" t="str">
        <f aca="false">IF(M400="","",ROUND(M400*IFERROR(INDEX(Weights!$B$2:$B$4,MATCH(G400,Weights!$A$2:$A$4,0)),0)*IFERROR(INDEX(Weights!$B$7:$B$11,MATCH(E400,Weights!$A$7:$A$11,0)),0)*IFERROR(INDEX(Weights!$B$14:$B$17,MATCH(TEXT(J400,"0"),Weights!$A$14:$A$17,0)),0)/(1+N(N400)/50),1))</f>
        <v/>
      </c>
      <c r="Q400" s="5" t="s">
        <v>42</v>
      </c>
    </row>
    <row r="401" customFormat="false" ht="15" hidden="false" customHeight="false" outlineLevel="0" collapsed="false">
      <c r="A401" s="5" t="n">
        <v>400</v>
      </c>
      <c r="B401" s="5" t="s">
        <v>510</v>
      </c>
      <c r="C401" s="5" t="s">
        <v>511</v>
      </c>
      <c r="D401" s="5" t="s">
        <v>489</v>
      </c>
      <c r="E401" s="5" t="s">
        <v>37</v>
      </c>
      <c r="F401" s="5" t="s">
        <v>385</v>
      </c>
      <c r="G401" s="5" t="s">
        <v>39</v>
      </c>
      <c r="H401" s="5" t="s">
        <v>40</v>
      </c>
      <c r="I401" s="5" t="s">
        <v>512</v>
      </c>
      <c r="J401" s="5" t="n">
        <v>3</v>
      </c>
      <c r="K401" s="5"/>
      <c r="L401" s="6"/>
      <c r="M401" s="6"/>
      <c r="N401" s="6"/>
      <c r="O401" s="6"/>
      <c r="P401" s="5" t="str">
        <f aca="false">IF(M401="","",ROUND(M401*IFERROR(INDEX(Weights!$B$2:$B$4,MATCH(G401,Weights!$A$2:$A$4,0)),0)*IFERROR(INDEX(Weights!$B$7:$B$11,MATCH(E401,Weights!$A$7:$A$11,0)),0)*IFERROR(INDEX(Weights!$B$14:$B$17,MATCH(TEXT(J401,"0"),Weights!$A$14:$A$17,0)),0)/(1+N(N401)/50),1))</f>
        <v/>
      </c>
      <c r="Q401" s="5" t="s">
        <v>42</v>
      </c>
    </row>
    <row r="402" customFormat="false" ht="15" hidden="false" customHeight="false" outlineLevel="0" collapsed="false">
      <c r="A402" s="5" t="n">
        <v>401</v>
      </c>
      <c r="B402" s="5" t="s">
        <v>513</v>
      </c>
      <c r="C402" s="5" t="s">
        <v>514</v>
      </c>
      <c r="D402" s="5" t="s">
        <v>489</v>
      </c>
      <c r="E402" s="5" t="s">
        <v>37</v>
      </c>
      <c r="F402" s="5" t="s">
        <v>385</v>
      </c>
      <c r="G402" s="5" t="s">
        <v>39</v>
      </c>
      <c r="H402" s="5" t="s">
        <v>40</v>
      </c>
      <c r="I402" s="5" t="s">
        <v>512</v>
      </c>
      <c r="J402" s="5" t="n">
        <v>2</v>
      </c>
      <c r="K402" s="5"/>
      <c r="L402" s="6"/>
      <c r="M402" s="6"/>
      <c r="N402" s="6"/>
      <c r="O402" s="6"/>
      <c r="P402" s="5" t="str">
        <f aca="false">IF(M402="","",ROUND(M402*IFERROR(INDEX(Weights!$B$2:$B$4,MATCH(G402,Weights!$A$2:$A$4,0)),0)*IFERROR(INDEX(Weights!$B$7:$B$11,MATCH(E402,Weights!$A$7:$A$11,0)),0)*IFERROR(INDEX(Weights!$B$14:$B$17,MATCH(TEXT(J402,"0"),Weights!$A$14:$A$17,0)),0)/(1+N(N402)/50),1))</f>
        <v/>
      </c>
      <c r="Q402" s="5" t="s">
        <v>42</v>
      </c>
    </row>
    <row r="403" customFormat="false" ht="15" hidden="false" customHeight="false" outlineLevel="0" collapsed="false">
      <c r="A403" s="5" t="n">
        <v>402</v>
      </c>
      <c r="B403" s="5" t="s">
        <v>515</v>
      </c>
      <c r="C403" s="5" t="s">
        <v>514</v>
      </c>
      <c r="D403" s="5" t="s">
        <v>489</v>
      </c>
      <c r="E403" s="5" t="s">
        <v>37</v>
      </c>
      <c r="F403" s="5" t="s">
        <v>385</v>
      </c>
      <c r="G403" s="5" t="s">
        <v>39</v>
      </c>
      <c r="H403" s="5" t="s">
        <v>40</v>
      </c>
      <c r="I403" s="5" t="s">
        <v>512</v>
      </c>
      <c r="J403" s="5" t="n">
        <v>2</v>
      </c>
      <c r="K403" s="5"/>
      <c r="L403" s="6"/>
      <c r="M403" s="6"/>
      <c r="N403" s="6"/>
      <c r="O403" s="6"/>
      <c r="P403" s="5" t="str">
        <f aca="false">IF(M403="","",ROUND(M403*IFERROR(INDEX(Weights!$B$2:$B$4,MATCH(G403,Weights!$A$2:$A$4,0)),0)*IFERROR(INDEX(Weights!$B$7:$B$11,MATCH(E403,Weights!$A$7:$A$11,0)),0)*IFERROR(INDEX(Weights!$B$14:$B$17,MATCH(TEXT(J403,"0"),Weights!$A$14:$A$17,0)),0)/(1+N(N403)/50),1))</f>
        <v/>
      </c>
      <c r="Q403" s="5" t="s">
        <v>42</v>
      </c>
    </row>
    <row r="404" customFormat="false" ht="15" hidden="false" customHeight="false" outlineLevel="0" collapsed="false">
      <c r="A404" s="5" t="n">
        <v>403</v>
      </c>
      <c r="B404" s="5" t="s">
        <v>516</v>
      </c>
      <c r="C404" s="5" t="s">
        <v>74</v>
      </c>
      <c r="D404" s="5" t="s">
        <v>19</v>
      </c>
      <c r="E404" s="5" t="s">
        <v>37</v>
      </c>
      <c r="F404" s="5" t="s">
        <v>385</v>
      </c>
      <c r="G404" s="5" t="s">
        <v>39</v>
      </c>
      <c r="H404" s="5" t="s">
        <v>40</v>
      </c>
      <c r="I404" s="5" t="s">
        <v>75</v>
      </c>
      <c r="J404" s="5" t="n">
        <v>2</v>
      </c>
      <c r="K404" s="5"/>
      <c r="L404" s="6"/>
      <c r="M404" s="6"/>
      <c r="N404" s="6"/>
      <c r="O404" s="6"/>
      <c r="P404" s="5" t="str">
        <f aca="false">IF(M404="","",ROUND(M404*IFERROR(INDEX(Weights!$B$2:$B$4,MATCH(G404,Weights!$A$2:$A$4,0)),0)*IFERROR(INDEX(Weights!$B$7:$B$11,MATCH(E404,Weights!$A$7:$A$11,0)),0)*IFERROR(INDEX(Weights!$B$14:$B$17,MATCH(TEXT(J404,"0"),Weights!$A$14:$A$17,0)),0)/(1+N(N404)/50),1))</f>
        <v/>
      </c>
      <c r="Q404" s="5" t="s">
        <v>42</v>
      </c>
    </row>
    <row r="405" customFormat="false" ht="15" hidden="false" customHeight="false" outlineLevel="0" collapsed="false">
      <c r="A405" s="5" t="n">
        <v>404</v>
      </c>
      <c r="B405" s="5" t="s">
        <v>517</v>
      </c>
      <c r="C405" s="5" t="s">
        <v>74</v>
      </c>
      <c r="D405" s="5" t="s">
        <v>19</v>
      </c>
      <c r="E405" s="5" t="s">
        <v>37</v>
      </c>
      <c r="F405" s="5" t="s">
        <v>385</v>
      </c>
      <c r="G405" s="5" t="s">
        <v>39</v>
      </c>
      <c r="H405" s="5" t="s">
        <v>40</v>
      </c>
      <c r="I405" s="5" t="s">
        <v>75</v>
      </c>
      <c r="J405" s="5" t="n">
        <v>2</v>
      </c>
      <c r="K405" s="5"/>
      <c r="L405" s="6"/>
      <c r="M405" s="6"/>
      <c r="N405" s="6"/>
      <c r="O405" s="6"/>
      <c r="P405" s="5" t="str">
        <f aca="false">IF(M405="","",ROUND(M405*IFERROR(INDEX(Weights!$B$2:$B$4,MATCH(G405,Weights!$A$2:$A$4,0)),0)*IFERROR(INDEX(Weights!$B$7:$B$11,MATCH(E405,Weights!$A$7:$A$11,0)),0)*IFERROR(INDEX(Weights!$B$14:$B$17,MATCH(TEXT(J405,"0"),Weights!$A$14:$A$17,0)),0)/(1+N(N405)/50),1))</f>
        <v/>
      </c>
      <c r="Q405" s="5" t="s">
        <v>42</v>
      </c>
    </row>
    <row r="406" customFormat="false" ht="15" hidden="false" customHeight="false" outlineLevel="0" collapsed="false">
      <c r="A406" s="5" t="n">
        <v>405</v>
      </c>
      <c r="B406" s="5" t="s">
        <v>518</v>
      </c>
      <c r="C406" s="5" t="s">
        <v>74</v>
      </c>
      <c r="D406" s="5" t="s">
        <v>19</v>
      </c>
      <c r="E406" s="5" t="s">
        <v>37</v>
      </c>
      <c r="F406" s="5" t="s">
        <v>385</v>
      </c>
      <c r="G406" s="5" t="s">
        <v>39</v>
      </c>
      <c r="H406" s="5" t="s">
        <v>40</v>
      </c>
      <c r="I406" s="5" t="s">
        <v>75</v>
      </c>
      <c r="J406" s="5" t="n">
        <v>2</v>
      </c>
      <c r="K406" s="5"/>
      <c r="L406" s="6"/>
      <c r="M406" s="6"/>
      <c r="N406" s="6"/>
      <c r="O406" s="6"/>
      <c r="P406" s="5" t="str">
        <f aca="false">IF(M406="","",ROUND(M406*IFERROR(INDEX(Weights!$B$2:$B$4,MATCH(G406,Weights!$A$2:$A$4,0)),0)*IFERROR(INDEX(Weights!$B$7:$B$11,MATCH(E406,Weights!$A$7:$A$11,0)),0)*IFERROR(INDEX(Weights!$B$14:$B$17,MATCH(TEXT(J406,"0"),Weights!$A$14:$A$17,0)),0)/(1+N(N406)/50),1))</f>
        <v/>
      </c>
      <c r="Q406" s="5" t="s">
        <v>42</v>
      </c>
    </row>
    <row r="407" customFormat="false" ht="15" hidden="false" customHeight="false" outlineLevel="0" collapsed="false">
      <c r="A407" s="5" t="n">
        <v>406</v>
      </c>
      <c r="B407" s="5" t="s">
        <v>519</v>
      </c>
      <c r="C407" s="5" t="s">
        <v>74</v>
      </c>
      <c r="D407" s="5" t="s">
        <v>19</v>
      </c>
      <c r="E407" s="5" t="s">
        <v>37</v>
      </c>
      <c r="F407" s="5" t="s">
        <v>385</v>
      </c>
      <c r="G407" s="5" t="s">
        <v>39</v>
      </c>
      <c r="H407" s="5" t="s">
        <v>40</v>
      </c>
      <c r="I407" s="5" t="s">
        <v>75</v>
      </c>
      <c r="J407" s="5" t="n">
        <v>2</v>
      </c>
      <c r="K407" s="5"/>
      <c r="L407" s="6"/>
      <c r="M407" s="6"/>
      <c r="N407" s="6"/>
      <c r="O407" s="6"/>
      <c r="P407" s="5" t="str">
        <f aca="false">IF(M407="","",ROUND(M407*IFERROR(INDEX(Weights!$B$2:$B$4,MATCH(G407,Weights!$A$2:$A$4,0)),0)*IFERROR(INDEX(Weights!$B$7:$B$11,MATCH(E407,Weights!$A$7:$A$11,0)),0)*IFERROR(INDEX(Weights!$B$14:$B$17,MATCH(TEXT(J407,"0"),Weights!$A$14:$A$17,0)),0)/(1+N(N407)/50),1))</f>
        <v/>
      </c>
      <c r="Q407" s="5" t="s">
        <v>42</v>
      </c>
    </row>
    <row r="408" customFormat="false" ht="15" hidden="false" customHeight="false" outlineLevel="0" collapsed="false">
      <c r="A408" s="5" t="n">
        <v>407</v>
      </c>
      <c r="B408" s="5" t="s">
        <v>520</v>
      </c>
      <c r="C408" s="5" t="s">
        <v>74</v>
      </c>
      <c r="D408" s="5" t="s">
        <v>419</v>
      </c>
      <c r="E408" s="5" t="s">
        <v>37</v>
      </c>
      <c r="F408" s="5" t="s">
        <v>385</v>
      </c>
      <c r="G408" s="5" t="s">
        <v>39</v>
      </c>
      <c r="H408" s="5" t="s">
        <v>395</v>
      </c>
      <c r="I408" s="5" t="s">
        <v>75</v>
      </c>
      <c r="J408" s="5" t="n">
        <v>2</v>
      </c>
      <c r="K408" s="5"/>
      <c r="L408" s="6"/>
      <c r="M408" s="6"/>
      <c r="N408" s="6"/>
      <c r="O408" s="6"/>
      <c r="P408" s="5" t="str">
        <f aca="false">IF(M408="","",ROUND(M408*IFERROR(INDEX(Weights!$B$2:$B$4,MATCH(G408,Weights!$A$2:$A$4,0)),0)*IFERROR(INDEX(Weights!$B$7:$B$11,MATCH(E408,Weights!$A$7:$A$11,0)),0)*IFERROR(INDEX(Weights!$B$14:$B$17,MATCH(TEXT(J408,"0"),Weights!$A$14:$A$17,0)),0)/(1+N(N408)/50),1))</f>
        <v/>
      </c>
      <c r="Q408" s="5" t="s">
        <v>42</v>
      </c>
    </row>
    <row r="409" customFormat="false" ht="15" hidden="false" customHeight="false" outlineLevel="0" collapsed="false">
      <c r="A409" s="5" t="n">
        <v>408</v>
      </c>
      <c r="B409" s="5" t="s">
        <v>521</v>
      </c>
      <c r="C409" s="5" t="s">
        <v>74</v>
      </c>
      <c r="D409" s="5" t="s">
        <v>489</v>
      </c>
      <c r="E409" s="5" t="s">
        <v>37</v>
      </c>
      <c r="F409" s="5" t="s">
        <v>385</v>
      </c>
      <c r="G409" s="5" t="s">
        <v>39</v>
      </c>
      <c r="H409" s="5" t="s">
        <v>40</v>
      </c>
      <c r="I409" s="5" t="s">
        <v>522</v>
      </c>
      <c r="J409" s="5" t="n">
        <v>2</v>
      </c>
      <c r="K409" s="5"/>
      <c r="L409" s="6"/>
      <c r="M409" s="6"/>
      <c r="N409" s="6"/>
      <c r="O409" s="6"/>
      <c r="P409" s="5" t="str">
        <f aca="false">IF(M409="","",ROUND(M409*IFERROR(INDEX(Weights!$B$2:$B$4,MATCH(G409,Weights!$A$2:$A$4,0)),0)*IFERROR(INDEX(Weights!$B$7:$B$11,MATCH(E409,Weights!$A$7:$A$11,0)),0)*IFERROR(INDEX(Weights!$B$14:$B$17,MATCH(TEXT(J409,"0"),Weights!$A$14:$A$17,0)),0)/(1+N(N409)/50),1))</f>
        <v/>
      </c>
      <c r="Q409" s="5" t="s">
        <v>42</v>
      </c>
    </row>
    <row r="410" customFormat="false" ht="15" hidden="false" customHeight="false" outlineLevel="0" collapsed="false">
      <c r="A410" s="5" t="n">
        <v>409</v>
      </c>
      <c r="B410" s="5" t="s">
        <v>523</v>
      </c>
      <c r="C410" s="5" t="s">
        <v>74</v>
      </c>
      <c r="D410" s="5" t="s">
        <v>489</v>
      </c>
      <c r="E410" s="5" t="s">
        <v>37</v>
      </c>
      <c r="F410" s="5" t="s">
        <v>385</v>
      </c>
      <c r="G410" s="5" t="s">
        <v>39</v>
      </c>
      <c r="H410" s="5" t="s">
        <v>40</v>
      </c>
      <c r="I410" s="5" t="s">
        <v>522</v>
      </c>
      <c r="J410" s="5" t="n">
        <v>2</v>
      </c>
      <c r="K410" s="5"/>
      <c r="L410" s="6"/>
      <c r="M410" s="6"/>
      <c r="N410" s="6"/>
      <c r="O410" s="6"/>
      <c r="P410" s="5" t="str">
        <f aca="false">IF(M410="","",ROUND(M410*IFERROR(INDEX(Weights!$B$2:$B$4,MATCH(G410,Weights!$A$2:$A$4,0)),0)*IFERROR(INDEX(Weights!$B$7:$B$11,MATCH(E410,Weights!$A$7:$A$11,0)),0)*IFERROR(INDEX(Weights!$B$14:$B$17,MATCH(TEXT(J410,"0"),Weights!$A$14:$A$17,0)),0)/(1+N(N410)/50),1))</f>
        <v/>
      </c>
      <c r="Q410" s="5" t="s">
        <v>42</v>
      </c>
    </row>
    <row r="411" customFormat="false" ht="15" hidden="false" customHeight="false" outlineLevel="0" collapsed="false">
      <c r="A411" s="5" t="n">
        <v>410</v>
      </c>
      <c r="B411" s="5" t="s">
        <v>524</v>
      </c>
      <c r="C411" s="5" t="s">
        <v>74</v>
      </c>
      <c r="D411" s="5" t="s">
        <v>489</v>
      </c>
      <c r="E411" s="5" t="s">
        <v>37</v>
      </c>
      <c r="F411" s="5" t="s">
        <v>385</v>
      </c>
      <c r="G411" s="5" t="s">
        <v>39</v>
      </c>
      <c r="H411" s="5" t="s">
        <v>40</v>
      </c>
      <c r="I411" s="5" t="s">
        <v>522</v>
      </c>
      <c r="J411" s="5" t="n">
        <v>2</v>
      </c>
      <c r="K411" s="5"/>
      <c r="L411" s="6"/>
      <c r="M411" s="6"/>
      <c r="N411" s="6"/>
      <c r="O411" s="6"/>
      <c r="P411" s="5" t="str">
        <f aca="false">IF(M411="","",ROUND(M411*IFERROR(INDEX(Weights!$B$2:$B$4,MATCH(G411,Weights!$A$2:$A$4,0)),0)*IFERROR(INDEX(Weights!$B$7:$B$11,MATCH(E411,Weights!$A$7:$A$11,0)),0)*IFERROR(INDEX(Weights!$B$14:$B$17,MATCH(TEXT(J411,"0"),Weights!$A$14:$A$17,0)),0)/(1+N(N411)/50),1))</f>
        <v/>
      </c>
      <c r="Q411" s="5" t="s">
        <v>42</v>
      </c>
    </row>
    <row r="412" customFormat="false" ht="15" hidden="false" customHeight="false" outlineLevel="0" collapsed="false">
      <c r="A412" s="5" t="n">
        <v>411</v>
      </c>
      <c r="B412" s="5" t="s">
        <v>525</v>
      </c>
      <c r="C412" s="5" t="s">
        <v>74</v>
      </c>
      <c r="D412" s="5" t="s">
        <v>489</v>
      </c>
      <c r="E412" s="5" t="s">
        <v>37</v>
      </c>
      <c r="F412" s="5" t="s">
        <v>385</v>
      </c>
      <c r="G412" s="5" t="s">
        <v>39</v>
      </c>
      <c r="H412" s="5" t="s">
        <v>40</v>
      </c>
      <c r="I412" s="5" t="s">
        <v>522</v>
      </c>
      <c r="J412" s="5" t="n">
        <v>2</v>
      </c>
      <c r="K412" s="5"/>
      <c r="L412" s="6"/>
      <c r="M412" s="6"/>
      <c r="N412" s="6"/>
      <c r="O412" s="6"/>
      <c r="P412" s="5" t="str">
        <f aca="false">IF(M412="","",ROUND(M412*IFERROR(INDEX(Weights!$B$2:$B$4,MATCH(G412,Weights!$A$2:$A$4,0)),0)*IFERROR(INDEX(Weights!$B$7:$B$11,MATCH(E412,Weights!$A$7:$A$11,0)),0)*IFERROR(INDEX(Weights!$B$14:$B$17,MATCH(TEXT(J412,"0"),Weights!$A$14:$A$17,0)),0)/(1+N(N412)/50),1))</f>
        <v/>
      </c>
      <c r="Q412" s="5" t="s">
        <v>42</v>
      </c>
    </row>
    <row r="413" customFormat="false" ht="15" hidden="false" customHeight="false" outlineLevel="0" collapsed="false">
      <c r="A413" s="5" t="n">
        <v>412</v>
      </c>
      <c r="B413" s="5" t="s">
        <v>526</v>
      </c>
      <c r="C413" s="5" t="s">
        <v>74</v>
      </c>
      <c r="D413" s="5" t="s">
        <v>19</v>
      </c>
      <c r="E413" s="5" t="s">
        <v>37</v>
      </c>
      <c r="F413" s="5" t="s">
        <v>385</v>
      </c>
      <c r="G413" s="5" t="s">
        <v>39</v>
      </c>
      <c r="H413" s="5" t="s">
        <v>40</v>
      </c>
      <c r="I413" s="5" t="s">
        <v>527</v>
      </c>
      <c r="J413" s="5" t="n">
        <v>2</v>
      </c>
      <c r="K413" s="5"/>
      <c r="L413" s="6"/>
      <c r="M413" s="6"/>
      <c r="N413" s="6"/>
      <c r="O413" s="6"/>
      <c r="P413" s="5" t="str">
        <f aca="false">IF(M413="","",ROUND(M413*IFERROR(INDEX(Weights!$B$2:$B$4,MATCH(G413,Weights!$A$2:$A$4,0)),0)*IFERROR(INDEX(Weights!$B$7:$B$11,MATCH(E413,Weights!$A$7:$A$11,0)),0)*IFERROR(INDEX(Weights!$B$14:$B$17,MATCH(TEXT(J413,"0"),Weights!$A$14:$A$17,0)),0)/(1+N(N413)/50),1))</f>
        <v/>
      </c>
      <c r="Q413" s="5" t="s">
        <v>42</v>
      </c>
    </row>
    <row r="414" customFormat="false" ht="15" hidden="false" customHeight="false" outlineLevel="0" collapsed="false">
      <c r="A414" s="5" t="n">
        <v>413</v>
      </c>
      <c r="B414" s="5" t="s">
        <v>528</v>
      </c>
      <c r="C414" s="5" t="s">
        <v>74</v>
      </c>
      <c r="D414" s="5" t="s">
        <v>403</v>
      </c>
      <c r="E414" s="5" t="s">
        <v>37</v>
      </c>
      <c r="F414" s="5" t="s">
        <v>385</v>
      </c>
      <c r="G414" s="5" t="s">
        <v>404</v>
      </c>
      <c r="H414" s="5" t="s">
        <v>405</v>
      </c>
      <c r="I414" s="5" t="s">
        <v>406</v>
      </c>
      <c r="J414" s="5" t="n">
        <v>2</v>
      </c>
      <c r="K414" s="5"/>
      <c r="L414" s="6"/>
      <c r="M414" s="6"/>
      <c r="N414" s="6"/>
      <c r="O414" s="6"/>
      <c r="P414" s="5" t="str">
        <f aca="false">IF(M414="","",ROUND(M414*IFERROR(INDEX(Weights!$B$2:$B$4,MATCH(G414,Weights!$A$2:$A$4,0)),0)*IFERROR(INDEX(Weights!$B$7:$B$11,MATCH(E414,Weights!$A$7:$A$11,0)),0)*IFERROR(INDEX(Weights!$B$14:$B$17,MATCH(TEXT(J414,"0"),Weights!$A$14:$A$17,0)),0)/(1+N(N414)/50),1))</f>
        <v/>
      </c>
      <c r="Q414" s="5" t="s">
        <v>42</v>
      </c>
    </row>
    <row r="415" customFormat="false" ht="15" hidden="false" customHeight="false" outlineLevel="0" collapsed="false">
      <c r="A415" s="5" t="n">
        <v>414</v>
      </c>
      <c r="B415" s="5" t="s">
        <v>529</v>
      </c>
      <c r="C415" s="5" t="s">
        <v>74</v>
      </c>
      <c r="D415" s="5" t="s">
        <v>403</v>
      </c>
      <c r="E415" s="5" t="s">
        <v>37</v>
      </c>
      <c r="F415" s="5" t="s">
        <v>385</v>
      </c>
      <c r="G415" s="5" t="s">
        <v>404</v>
      </c>
      <c r="H415" s="5" t="s">
        <v>405</v>
      </c>
      <c r="I415" s="5" t="s">
        <v>406</v>
      </c>
      <c r="J415" s="5" t="n">
        <v>2</v>
      </c>
      <c r="K415" s="5"/>
      <c r="L415" s="6"/>
      <c r="M415" s="6"/>
      <c r="N415" s="6"/>
      <c r="O415" s="6"/>
      <c r="P415" s="5" t="str">
        <f aca="false">IF(M415="","",ROUND(M415*IFERROR(INDEX(Weights!$B$2:$B$4,MATCH(G415,Weights!$A$2:$A$4,0)),0)*IFERROR(INDEX(Weights!$B$7:$B$11,MATCH(E415,Weights!$A$7:$A$11,0)),0)*IFERROR(INDEX(Weights!$B$14:$B$17,MATCH(TEXT(J415,"0"),Weights!$A$14:$A$17,0)),0)/(1+N(N415)/50),1))</f>
        <v/>
      </c>
      <c r="Q415" s="5" t="s">
        <v>42</v>
      </c>
    </row>
    <row r="416" customFormat="false" ht="15" hidden="false" customHeight="false" outlineLevel="0" collapsed="false">
      <c r="A416" s="5" t="n">
        <v>415</v>
      </c>
      <c r="B416" s="5" t="s">
        <v>530</v>
      </c>
      <c r="C416" s="5" t="s">
        <v>74</v>
      </c>
      <c r="D416" s="5" t="s">
        <v>403</v>
      </c>
      <c r="E416" s="5" t="s">
        <v>37</v>
      </c>
      <c r="F416" s="5" t="s">
        <v>385</v>
      </c>
      <c r="G416" s="5" t="s">
        <v>404</v>
      </c>
      <c r="H416" s="5" t="s">
        <v>405</v>
      </c>
      <c r="I416" s="5" t="s">
        <v>406</v>
      </c>
      <c r="J416" s="5" t="n">
        <v>2</v>
      </c>
      <c r="K416" s="5"/>
      <c r="L416" s="6"/>
      <c r="M416" s="6"/>
      <c r="N416" s="6"/>
      <c r="O416" s="6"/>
      <c r="P416" s="5" t="str">
        <f aca="false">IF(M416="","",ROUND(M416*IFERROR(INDEX(Weights!$B$2:$B$4,MATCH(G416,Weights!$A$2:$A$4,0)),0)*IFERROR(INDEX(Weights!$B$7:$B$11,MATCH(E416,Weights!$A$7:$A$11,0)),0)*IFERROR(INDEX(Weights!$B$14:$B$17,MATCH(TEXT(J416,"0"),Weights!$A$14:$A$17,0)),0)/(1+N(N416)/50),1))</f>
        <v/>
      </c>
      <c r="Q416" s="5" t="s">
        <v>42</v>
      </c>
    </row>
    <row r="417" customFormat="false" ht="15" hidden="false" customHeight="false" outlineLevel="0" collapsed="false">
      <c r="A417" s="5" t="n">
        <v>416</v>
      </c>
      <c r="B417" s="5" t="s">
        <v>531</v>
      </c>
      <c r="C417" s="5" t="s">
        <v>74</v>
      </c>
      <c r="D417" s="5" t="s">
        <v>403</v>
      </c>
      <c r="E417" s="5" t="s">
        <v>37</v>
      </c>
      <c r="F417" s="5" t="s">
        <v>385</v>
      </c>
      <c r="G417" s="5" t="s">
        <v>404</v>
      </c>
      <c r="H417" s="5" t="s">
        <v>405</v>
      </c>
      <c r="I417" s="5" t="s">
        <v>406</v>
      </c>
      <c r="J417" s="5" t="n">
        <v>3</v>
      </c>
      <c r="K417" s="5"/>
      <c r="L417" s="6"/>
      <c r="M417" s="6"/>
      <c r="N417" s="6"/>
      <c r="O417" s="6"/>
      <c r="P417" s="5" t="str">
        <f aca="false">IF(M417="","",ROUND(M417*IFERROR(INDEX(Weights!$B$2:$B$4,MATCH(G417,Weights!$A$2:$A$4,0)),0)*IFERROR(INDEX(Weights!$B$7:$B$11,MATCH(E417,Weights!$A$7:$A$11,0)),0)*IFERROR(INDEX(Weights!$B$14:$B$17,MATCH(TEXT(J417,"0"),Weights!$A$14:$A$17,0)),0)/(1+N(N417)/50),1))</f>
        <v/>
      </c>
      <c r="Q417" s="5" t="s">
        <v>42</v>
      </c>
    </row>
    <row r="418" customFormat="false" ht="15" hidden="false" customHeight="false" outlineLevel="0" collapsed="false">
      <c r="A418" s="5" t="n">
        <v>417</v>
      </c>
      <c r="B418" s="5" t="s">
        <v>532</v>
      </c>
      <c r="C418" s="5" t="s">
        <v>74</v>
      </c>
      <c r="D418" s="5" t="s">
        <v>489</v>
      </c>
      <c r="E418" s="5" t="s">
        <v>37</v>
      </c>
      <c r="F418" s="5" t="s">
        <v>385</v>
      </c>
      <c r="G418" s="5" t="s">
        <v>39</v>
      </c>
      <c r="H418" s="5" t="s">
        <v>40</v>
      </c>
      <c r="I418" s="5" t="s">
        <v>533</v>
      </c>
      <c r="J418" s="5" t="n">
        <v>3</v>
      </c>
      <c r="K418" s="5"/>
      <c r="L418" s="6"/>
      <c r="M418" s="6"/>
      <c r="N418" s="6"/>
      <c r="O418" s="6"/>
      <c r="P418" s="5" t="str">
        <f aca="false">IF(M418="","",ROUND(M418*IFERROR(INDEX(Weights!$B$2:$B$4,MATCH(G418,Weights!$A$2:$A$4,0)),0)*IFERROR(INDEX(Weights!$B$7:$B$11,MATCH(E418,Weights!$A$7:$A$11,0)),0)*IFERROR(INDEX(Weights!$B$14:$B$17,MATCH(TEXT(J418,"0"),Weights!$A$14:$A$17,0)),0)/(1+N(N418)/50),1))</f>
        <v/>
      </c>
      <c r="Q418" s="5" t="s">
        <v>42</v>
      </c>
    </row>
    <row r="419" customFormat="false" ht="15" hidden="false" customHeight="false" outlineLevel="0" collapsed="false">
      <c r="A419" s="5" t="n">
        <v>418</v>
      </c>
      <c r="B419" s="5" t="s">
        <v>534</v>
      </c>
      <c r="C419" s="5" t="s">
        <v>78</v>
      </c>
      <c r="D419" s="5" t="s">
        <v>19</v>
      </c>
      <c r="E419" s="5" t="s">
        <v>37</v>
      </c>
      <c r="F419" s="5" t="s">
        <v>385</v>
      </c>
      <c r="G419" s="5" t="s">
        <v>39</v>
      </c>
      <c r="H419" s="5" t="s">
        <v>40</v>
      </c>
      <c r="I419" s="5" t="s">
        <v>79</v>
      </c>
      <c r="J419" s="5" t="n">
        <v>2</v>
      </c>
      <c r="K419" s="5"/>
      <c r="L419" s="6"/>
      <c r="M419" s="6"/>
      <c r="N419" s="6"/>
      <c r="O419" s="6"/>
      <c r="P419" s="5" t="str">
        <f aca="false">IF(M419="","",ROUND(M419*IFERROR(INDEX(Weights!$B$2:$B$4,MATCH(G419,Weights!$A$2:$A$4,0)),0)*IFERROR(INDEX(Weights!$B$7:$B$11,MATCH(E419,Weights!$A$7:$A$11,0)),0)*IFERROR(INDEX(Weights!$B$14:$B$17,MATCH(TEXT(J419,"0"),Weights!$A$14:$A$17,0)),0)/(1+N(N419)/50),1))</f>
        <v/>
      </c>
      <c r="Q419" s="5" t="s">
        <v>42</v>
      </c>
    </row>
    <row r="420" customFormat="false" ht="15" hidden="false" customHeight="false" outlineLevel="0" collapsed="false">
      <c r="A420" s="5" t="n">
        <v>419</v>
      </c>
      <c r="B420" s="5" t="s">
        <v>535</v>
      </c>
      <c r="C420" s="5" t="s">
        <v>78</v>
      </c>
      <c r="D420" s="5" t="s">
        <v>19</v>
      </c>
      <c r="E420" s="5" t="s">
        <v>37</v>
      </c>
      <c r="F420" s="5" t="s">
        <v>385</v>
      </c>
      <c r="G420" s="5" t="s">
        <v>39</v>
      </c>
      <c r="H420" s="5" t="s">
        <v>40</v>
      </c>
      <c r="I420" s="5" t="s">
        <v>79</v>
      </c>
      <c r="J420" s="5" t="n">
        <v>2</v>
      </c>
      <c r="K420" s="5"/>
      <c r="L420" s="6"/>
      <c r="M420" s="6"/>
      <c r="N420" s="6"/>
      <c r="O420" s="6"/>
      <c r="P420" s="5" t="str">
        <f aca="false">IF(M420="","",ROUND(M420*IFERROR(INDEX(Weights!$B$2:$B$4,MATCH(G420,Weights!$A$2:$A$4,0)),0)*IFERROR(INDEX(Weights!$B$7:$B$11,MATCH(E420,Weights!$A$7:$A$11,0)),0)*IFERROR(INDEX(Weights!$B$14:$B$17,MATCH(TEXT(J420,"0"),Weights!$A$14:$A$17,0)),0)/(1+N(N420)/50),1))</f>
        <v/>
      </c>
      <c r="Q420" s="5" t="s">
        <v>42</v>
      </c>
    </row>
    <row r="421" customFormat="false" ht="15" hidden="false" customHeight="false" outlineLevel="0" collapsed="false">
      <c r="A421" s="5" t="n">
        <v>420</v>
      </c>
      <c r="B421" s="5" t="s">
        <v>536</v>
      </c>
      <c r="C421" s="5" t="s">
        <v>78</v>
      </c>
      <c r="D421" s="5" t="s">
        <v>19</v>
      </c>
      <c r="E421" s="5" t="s">
        <v>37</v>
      </c>
      <c r="F421" s="5" t="s">
        <v>385</v>
      </c>
      <c r="G421" s="5" t="s">
        <v>39</v>
      </c>
      <c r="H421" s="5" t="s">
        <v>40</v>
      </c>
      <c r="I421" s="5" t="s">
        <v>79</v>
      </c>
      <c r="J421" s="5" t="n">
        <v>2</v>
      </c>
      <c r="K421" s="5"/>
      <c r="L421" s="6"/>
      <c r="M421" s="6"/>
      <c r="N421" s="6"/>
      <c r="O421" s="6"/>
      <c r="P421" s="5" t="str">
        <f aca="false">IF(M421="","",ROUND(M421*IFERROR(INDEX(Weights!$B$2:$B$4,MATCH(G421,Weights!$A$2:$A$4,0)),0)*IFERROR(INDEX(Weights!$B$7:$B$11,MATCH(E421,Weights!$A$7:$A$11,0)),0)*IFERROR(INDEX(Weights!$B$14:$B$17,MATCH(TEXT(J421,"0"),Weights!$A$14:$A$17,0)),0)/(1+N(N421)/50),1))</f>
        <v/>
      </c>
      <c r="Q421" s="5" t="s">
        <v>42</v>
      </c>
    </row>
    <row r="422" customFormat="false" ht="15" hidden="false" customHeight="false" outlineLevel="0" collapsed="false">
      <c r="A422" s="5" t="n">
        <v>421</v>
      </c>
      <c r="B422" s="5" t="s">
        <v>537</v>
      </c>
      <c r="C422" s="5" t="s">
        <v>78</v>
      </c>
      <c r="D422" s="5" t="s">
        <v>19</v>
      </c>
      <c r="E422" s="5" t="s">
        <v>37</v>
      </c>
      <c r="F422" s="5" t="s">
        <v>385</v>
      </c>
      <c r="G422" s="5" t="s">
        <v>39</v>
      </c>
      <c r="H422" s="5" t="s">
        <v>40</v>
      </c>
      <c r="I422" s="5" t="s">
        <v>79</v>
      </c>
      <c r="J422" s="5" t="n">
        <v>2</v>
      </c>
      <c r="K422" s="5"/>
      <c r="L422" s="6"/>
      <c r="M422" s="6"/>
      <c r="N422" s="6"/>
      <c r="O422" s="6"/>
      <c r="P422" s="5" t="str">
        <f aca="false">IF(M422="","",ROUND(M422*IFERROR(INDEX(Weights!$B$2:$B$4,MATCH(G422,Weights!$A$2:$A$4,0)),0)*IFERROR(INDEX(Weights!$B$7:$B$11,MATCH(E422,Weights!$A$7:$A$11,0)),0)*IFERROR(INDEX(Weights!$B$14:$B$17,MATCH(TEXT(J422,"0"),Weights!$A$14:$A$17,0)),0)/(1+N(N422)/50),1))</f>
        <v/>
      </c>
      <c r="Q422" s="5" t="s">
        <v>42</v>
      </c>
    </row>
    <row r="423" customFormat="false" ht="15" hidden="false" customHeight="false" outlineLevel="0" collapsed="false">
      <c r="A423" s="5" t="n">
        <v>422</v>
      </c>
      <c r="B423" s="5" t="s">
        <v>538</v>
      </c>
      <c r="C423" s="5" t="s">
        <v>78</v>
      </c>
      <c r="D423" s="5" t="s">
        <v>19</v>
      </c>
      <c r="E423" s="5" t="s">
        <v>37</v>
      </c>
      <c r="F423" s="5" t="s">
        <v>385</v>
      </c>
      <c r="G423" s="5" t="s">
        <v>39</v>
      </c>
      <c r="H423" s="5" t="s">
        <v>40</v>
      </c>
      <c r="I423" s="5" t="s">
        <v>79</v>
      </c>
      <c r="J423" s="5" t="n">
        <v>2</v>
      </c>
      <c r="K423" s="5"/>
      <c r="L423" s="6"/>
      <c r="M423" s="6"/>
      <c r="N423" s="6"/>
      <c r="O423" s="6"/>
      <c r="P423" s="5" t="str">
        <f aca="false">IF(M423="","",ROUND(M423*IFERROR(INDEX(Weights!$B$2:$B$4,MATCH(G423,Weights!$A$2:$A$4,0)),0)*IFERROR(INDEX(Weights!$B$7:$B$11,MATCH(E423,Weights!$A$7:$A$11,0)),0)*IFERROR(INDEX(Weights!$B$14:$B$17,MATCH(TEXT(J423,"0"),Weights!$A$14:$A$17,0)),0)/(1+N(N423)/50),1))</f>
        <v/>
      </c>
      <c r="Q423" s="5" t="s">
        <v>42</v>
      </c>
    </row>
    <row r="424" customFormat="false" ht="15" hidden="false" customHeight="false" outlineLevel="0" collapsed="false">
      <c r="A424" s="5" t="n">
        <v>423</v>
      </c>
      <c r="B424" s="5" t="s">
        <v>539</v>
      </c>
      <c r="C424" s="5" t="s">
        <v>78</v>
      </c>
      <c r="D424" s="5" t="s">
        <v>19</v>
      </c>
      <c r="E424" s="5" t="s">
        <v>37</v>
      </c>
      <c r="F424" s="5" t="s">
        <v>385</v>
      </c>
      <c r="G424" s="5" t="s">
        <v>39</v>
      </c>
      <c r="H424" s="5" t="s">
        <v>40</v>
      </c>
      <c r="I424" s="5" t="s">
        <v>79</v>
      </c>
      <c r="J424" s="5" t="n">
        <v>2</v>
      </c>
      <c r="K424" s="5"/>
      <c r="L424" s="6"/>
      <c r="M424" s="6"/>
      <c r="N424" s="6"/>
      <c r="O424" s="6"/>
      <c r="P424" s="5" t="str">
        <f aca="false">IF(M424="","",ROUND(M424*IFERROR(INDEX(Weights!$B$2:$B$4,MATCH(G424,Weights!$A$2:$A$4,0)),0)*IFERROR(INDEX(Weights!$B$7:$B$11,MATCH(E424,Weights!$A$7:$A$11,0)),0)*IFERROR(INDEX(Weights!$B$14:$B$17,MATCH(TEXT(J424,"0"),Weights!$A$14:$A$17,0)),0)/(1+N(N424)/50),1))</f>
        <v/>
      </c>
      <c r="Q424" s="5" t="s">
        <v>42</v>
      </c>
    </row>
    <row r="425" customFormat="false" ht="15" hidden="false" customHeight="false" outlineLevel="0" collapsed="false">
      <c r="A425" s="5" t="n">
        <v>424</v>
      </c>
      <c r="B425" s="5" t="s">
        <v>540</v>
      </c>
      <c r="C425" s="5" t="s">
        <v>78</v>
      </c>
      <c r="D425" s="5" t="s">
        <v>19</v>
      </c>
      <c r="E425" s="5" t="s">
        <v>37</v>
      </c>
      <c r="F425" s="5" t="s">
        <v>385</v>
      </c>
      <c r="G425" s="5" t="s">
        <v>39</v>
      </c>
      <c r="H425" s="5" t="s">
        <v>40</v>
      </c>
      <c r="I425" s="5" t="s">
        <v>79</v>
      </c>
      <c r="J425" s="5" t="n">
        <v>2</v>
      </c>
      <c r="K425" s="5"/>
      <c r="L425" s="6"/>
      <c r="M425" s="6"/>
      <c r="N425" s="6"/>
      <c r="O425" s="6"/>
      <c r="P425" s="5" t="str">
        <f aca="false">IF(M425="","",ROUND(M425*IFERROR(INDEX(Weights!$B$2:$B$4,MATCH(G425,Weights!$A$2:$A$4,0)),0)*IFERROR(INDEX(Weights!$B$7:$B$11,MATCH(E425,Weights!$A$7:$A$11,0)),0)*IFERROR(INDEX(Weights!$B$14:$B$17,MATCH(TEXT(J425,"0"),Weights!$A$14:$A$17,0)),0)/(1+N(N425)/50),1))</f>
        <v/>
      </c>
      <c r="Q425" s="5" t="s">
        <v>42</v>
      </c>
    </row>
    <row r="426" customFormat="false" ht="15" hidden="false" customHeight="false" outlineLevel="0" collapsed="false">
      <c r="A426" s="5" t="n">
        <v>425</v>
      </c>
      <c r="B426" s="5" t="s">
        <v>541</v>
      </c>
      <c r="C426" s="5" t="s">
        <v>78</v>
      </c>
      <c r="D426" s="5" t="s">
        <v>19</v>
      </c>
      <c r="E426" s="5" t="s">
        <v>37</v>
      </c>
      <c r="F426" s="5" t="s">
        <v>385</v>
      </c>
      <c r="G426" s="5" t="s">
        <v>39</v>
      </c>
      <c r="H426" s="5" t="s">
        <v>40</v>
      </c>
      <c r="I426" s="5" t="s">
        <v>79</v>
      </c>
      <c r="J426" s="5" t="n">
        <v>2</v>
      </c>
      <c r="K426" s="5"/>
      <c r="L426" s="6"/>
      <c r="M426" s="6"/>
      <c r="N426" s="6"/>
      <c r="O426" s="6"/>
      <c r="P426" s="5" t="str">
        <f aca="false">IF(M426="","",ROUND(M426*IFERROR(INDEX(Weights!$B$2:$B$4,MATCH(G426,Weights!$A$2:$A$4,0)),0)*IFERROR(INDEX(Weights!$B$7:$B$11,MATCH(E426,Weights!$A$7:$A$11,0)),0)*IFERROR(INDEX(Weights!$B$14:$B$17,MATCH(TEXT(J426,"0"),Weights!$A$14:$A$17,0)),0)/(1+N(N426)/50),1))</f>
        <v/>
      </c>
      <c r="Q426" s="5" t="s">
        <v>42</v>
      </c>
    </row>
    <row r="427" customFormat="false" ht="15" hidden="false" customHeight="false" outlineLevel="0" collapsed="false">
      <c r="A427" s="5" t="n">
        <v>426</v>
      </c>
      <c r="B427" s="5" t="s">
        <v>542</v>
      </c>
      <c r="C427" s="5" t="s">
        <v>78</v>
      </c>
      <c r="D427" s="5" t="s">
        <v>19</v>
      </c>
      <c r="E427" s="5" t="s">
        <v>37</v>
      </c>
      <c r="F427" s="5" t="s">
        <v>385</v>
      </c>
      <c r="G427" s="5" t="s">
        <v>39</v>
      </c>
      <c r="H427" s="5" t="s">
        <v>40</v>
      </c>
      <c r="I427" s="5" t="s">
        <v>79</v>
      </c>
      <c r="J427" s="5" t="n">
        <v>2</v>
      </c>
      <c r="K427" s="5"/>
      <c r="L427" s="6"/>
      <c r="M427" s="6"/>
      <c r="N427" s="6"/>
      <c r="O427" s="6"/>
      <c r="P427" s="5" t="str">
        <f aca="false">IF(M427="","",ROUND(M427*IFERROR(INDEX(Weights!$B$2:$B$4,MATCH(G427,Weights!$A$2:$A$4,0)),0)*IFERROR(INDEX(Weights!$B$7:$B$11,MATCH(E427,Weights!$A$7:$A$11,0)),0)*IFERROR(INDEX(Weights!$B$14:$B$17,MATCH(TEXT(J427,"0"),Weights!$A$14:$A$17,0)),0)/(1+N(N427)/50),1))</f>
        <v/>
      </c>
      <c r="Q427" s="5" t="s">
        <v>42</v>
      </c>
    </row>
    <row r="428" customFormat="false" ht="15" hidden="false" customHeight="false" outlineLevel="0" collapsed="false">
      <c r="A428" s="5" t="n">
        <v>427</v>
      </c>
      <c r="B428" s="5" t="s">
        <v>543</v>
      </c>
      <c r="C428" s="5" t="s">
        <v>78</v>
      </c>
      <c r="D428" s="5" t="s">
        <v>19</v>
      </c>
      <c r="E428" s="5" t="s">
        <v>37</v>
      </c>
      <c r="F428" s="5" t="s">
        <v>385</v>
      </c>
      <c r="G428" s="5" t="s">
        <v>39</v>
      </c>
      <c r="H428" s="5" t="s">
        <v>40</v>
      </c>
      <c r="I428" s="5" t="s">
        <v>79</v>
      </c>
      <c r="J428" s="5" t="n">
        <v>3</v>
      </c>
      <c r="K428" s="5"/>
      <c r="L428" s="6"/>
      <c r="M428" s="6"/>
      <c r="N428" s="6"/>
      <c r="O428" s="6"/>
      <c r="P428" s="5" t="str">
        <f aca="false">IF(M428="","",ROUND(M428*IFERROR(INDEX(Weights!$B$2:$B$4,MATCH(G428,Weights!$A$2:$A$4,0)),0)*IFERROR(INDEX(Weights!$B$7:$B$11,MATCH(E428,Weights!$A$7:$A$11,0)),0)*IFERROR(INDEX(Weights!$B$14:$B$17,MATCH(TEXT(J428,"0"),Weights!$A$14:$A$17,0)),0)/(1+N(N428)/50),1))</f>
        <v/>
      </c>
      <c r="Q428" s="5" t="s">
        <v>42</v>
      </c>
    </row>
    <row r="429" customFormat="false" ht="15" hidden="false" customHeight="false" outlineLevel="0" collapsed="false">
      <c r="A429" s="5" t="n">
        <v>428</v>
      </c>
      <c r="B429" s="5" t="s">
        <v>544</v>
      </c>
      <c r="C429" s="5" t="s">
        <v>78</v>
      </c>
      <c r="D429" s="5" t="s">
        <v>403</v>
      </c>
      <c r="E429" s="5" t="s">
        <v>37</v>
      </c>
      <c r="F429" s="5" t="s">
        <v>385</v>
      </c>
      <c r="G429" s="5" t="s">
        <v>404</v>
      </c>
      <c r="H429" s="5" t="s">
        <v>405</v>
      </c>
      <c r="I429" s="5" t="s">
        <v>406</v>
      </c>
      <c r="J429" s="5" t="n">
        <v>2</v>
      </c>
      <c r="K429" s="5"/>
      <c r="L429" s="6"/>
      <c r="M429" s="6"/>
      <c r="N429" s="6"/>
      <c r="O429" s="6"/>
      <c r="P429" s="5" t="str">
        <f aca="false">IF(M429="","",ROUND(M429*IFERROR(INDEX(Weights!$B$2:$B$4,MATCH(G429,Weights!$A$2:$A$4,0)),0)*IFERROR(INDEX(Weights!$B$7:$B$11,MATCH(E429,Weights!$A$7:$A$11,0)),0)*IFERROR(INDEX(Weights!$B$14:$B$17,MATCH(TEXT(J429,"0"),Weights!$A$14:$A$17,0)),0)/(1+N(N429)/50),1))</f>
        <v/>
      </c>
      <c r="Q429" s="5" t="s">
        <v>42</v>
      </c>
    </row>
    <row r="430" customFormat="false" ht="15" hidden="false" customHeight="false" outlineLevel="0" collapsed="false">
      <c r="A430" s="5" t="n">
        <v>429</v>
      </c>
      <c r="B430" s="5" t="s">
        <v>545</v>
      </c>
      <c r="C430" s="5" t="s">
        <v>78</v>
      </c>
      <c r="D430" s="5" t="s">
        <v>403</v>
      </c>
      <c r="E430" s="5" t="s">
        <v>37</v>
      </c>
      <c r="F430" s="5" t="s">
        <v>385</v>
      </c>
      <c r="G430" s="5" t="s">
        <v>404</v>
      </c>
      <c r="H430" s="5" t="s">
        <v>405</v>
      </c>
      <c r="I430" s="5" t="s">
        <v>406</v>
      </c>
      <c r="J430" s="5" t="n">
        <v>2</v>
      </c>
      <c r="K430" s="5"/>
      <c r="L430" s="6"/>
      <c r="M430" s="6"/>
      <c r="N430" s="6"/>
      <c r="O430" s="6"/>
      <c r="P430" s="5" t="str">
        <f aca="false">IF(M430="","",ROUND(M430*IFERROR(INDEX(Weights!$B$2:$B$4,MATCH(G430,Weights!$A$2:$A$4,0)),0)*IFERROR(INDEX(Weights!$B$7:$B$11,MATCH(E430,Weights!$A$7:$A$11,0)),0)*IFERROR(INDEX(Weights!$B$14:$B$17,MATCH(TEXT(J430,"0"),Weights!$A$14:$A$17,0)),0)/(1+N(N430)/50),1))</f>
        <v/>
      </c>
      <c r="Q430" s="5" t="s">
        <v>42</v>
      </c>
    </row>
    <row r="431" customFormat="false" ht="15" hidden="false" customHeight="false" outlineLevel="0" collapsed="false">
      <c r="A431" s="5" t="n">
        <v>430</v>
      </c>
      <c r="B431" s="5" t="s">
        <v>546</v>
      </c>
      <c r="C431" s="5" t="s">
        <v>78</v>
      </c>
      <c r="D431" s="5" t="s">
        <v>403</v>
      </c>
      <c r="E431" s="5" t="s">
        <v>37</v>
      </c>
      <c r="F431" s="5" t="s">
        <v>385</v>
      </c>
      <c r="G431" s="5" t="s">
        <v>404</v>
      </c>
      <c r="H431" s="5" t="s">
        <v>405</v>
      </c>
      <c r="I431" s="5" t="s">
        <v>406</v>
      </c>
      <c r="J431" s="5" t="n">
        <v>2</v>
      </c>
      <c r="K431" s="5"/>
      <c r="L431" s="6"/>
      <c r="M431" s="6"/>
      <c r="N431" s="6"/>
      <c r="O431" s="6"/>
      <c r="P431" s="5" t="str">
        <f aca="false">IF(M431="","",ROUND(M431*IFERROR(INDEX(Weights!$B$2:$B$4,MATCH(G431,Weights!$A$2:$A$4,0)),0)*IFERROR(INDEX(Weights!$B$7:$B$11,MATCH(E431,Weights!$A$7:$A$11,0)),0)*IFERROR(INDEX(Weights!$B$14:$B$17,MATCH(TEXT(J431,"0"),Weights!$A$14:$A$17,0)),0)/(1+N(N431)/50),1))</f>
        <v/>
      </c>
      <c r="Q431" s="5" t="s">
        <v>42</v>
      </c>
    </row>
    <row r="432" customFormat="false" ht="15" hidden="false" customHeight="false" outlineLevel="0" collapsed="false">
      <c r="A432" s="5" t="n">
        <v>431</v>
      </c>
      <c r="B432" s="5" t="s">
        <v>547</v>
      </c>
      <c r="C432" s="5" t="s">
        <v>548</v>
      </c>
      <c r="D432" s="5" t="s">
        <v>549</v>
      </c>
      <c r="E432" s="5" t="s">
        <v>37</v>
      </c>
      <c r="F432" s="5" t="s">
        <v>385</v>
      </c>
      <c r="G432" s="5" t="s">
        <v>39</v>
      </c>
      <c r="H432" s="5" t="s">
        <v>40</v>
      </c>
      <c r="I432" s="5" t="s">
        <v>550</v>
      </c>
      <c r="J432" s="5" t="n">
        <v>1</v>
      </c>
      <c r="K432" s="5"/>
      <c r="L432" s="6"/>
      <c r="M432" s="6"/>
      <c r="N432" s="6"/>
      <c r="O432" s="6"/>
      <c r="P432" s="5" t="str">
        <f aca="false">IF(M432="","",ROUND(M432*IFERROR(INDEX(Weights!$B$2:$B$4,MATCH(G432,Weights!$A$2:$A$4,0)),0)*IFERROR(INDEX(Weights!$B$7:$B$11,MATCH(E432,Weights!$A$7:$A$11,0)),0)*IFERROR(INDEX(Weights!$B$14:$B$17,MATCH(TEXT(J432,"0"),Weights!$A$14:$A$17,0)),0)/(1+N(N432)/50),1))</f>
        <v/>
      </c>
      <c r="Q432" s="5" t="s">
        <v>42</v>
      </c>
    </row>
    <row r="433" customFormat="false" ht="15" hidden="false" customHeight="false" outlineLevel="0" collapsed="false">
      <c r="A433" s="5" t="n">
        <v>432</v>
      </c>
      <c r="B433" s="5" t="s">
        <v>551</v>
      </c>
      <c r="C433" s="5" t="s">
        <v>548</v>
      </c>
      <c r="D433" s="5" t="s">
        <v>549</v>
      </c>
      <c r="E433" s="5" t="s">
        <v>37</v>
      </c>
      <c r="F433" s="5" t="s">
        <v>385</v>
      </c>
      <c r="G433" s="5" t="s">
        <v>39</v>
      </c>
      <c r="H433" s="5" t="s">
        <v>40</v>
      </c>
      <c r="I433" s="5" t="s">
        <v>550</v>
      </c>
      <c r="J433" s="5" t="n">
        <v>1</v>
      </c>
      <c r="K433" s="5"/>
      <c r="L433" s="6"/>
      <c r="M433" s="6"/>
      <c r="N433" s="6"/>
      <c r="O433" s="6"/>
      <c r="P433" s="5" t="str">
        <f aca="false">IF(M433="","",ROUND(M433*IFERROR(INDEX(Weights!$B$2:$B$4,MATCH(G433,Weights!$A$2:$A$4,0)),0)*IFERROR(INDEX(Weights!$B$7:$B$11,MATCH(E433,Weights!$A$7:$A$11,0)),0)*IFERROR(INDEX(Weights!$B$14:$B$17,MATCH(TEXT(J433,"0"),Weights!$A$14:$A$17,0)),0)/(1+N(N433)/50),1))</f>
        <v/>
      </c>
      <c r="Q433" s="5" t="s">
        <v>42</v>
      </c>
    </row>
    <row r="434" customFormat="false" ht="15" hidden="false" customHeight="false" outlineLevel="0" collapsed="false">
      <c r="A434" s="5" t="n">
        <v>433</v>
      </c>
      <c r="B434" s="5" t="s">
        <v>552</v>
      </c>
      <c r="C434" s="5" t="s">
        <v>548</v>
      </c>
      <c r="D434" s="5" t="s">
        <v>549</v>
      </c>
      <c r="E434" s="5" t="s">
        <v>37</v>
      </c>
      <c r="F434" s="5" t="s">
        <v>385</v>
      </c>
      <c r="G434" s="5" t="s">
        <v>39</v>
      </c>
      <c r="H434" s="5" t="s">
        <v>40</v>
      </c>
      <c r="I434" s="5" t="s">
        <v>550</v>
      </c>
      <c r="J434" s="5" t="n">
        <v>1</v>
      </c>
      <c r="K434" s="5"/>
      <c r="L434" s="6"/>
      <c r="M434" s="6"/>
      <c r="N434" s="6"/>
      <c r="O434" s="6"/>
      <c r="P434" s="5" t="str">
        <f aca="false">IF(M434="","",ROUND(M434*IFERROR(INDEX(Weights!$B$2:$B$4,MATCH(G434,Weights!$A$2:$A$4,0)),0)*IFERROR(INDEX(Weights!$B$7:$B$11,MATCH(E434,Weights!$A$7:$A$11,0)),0)*IFERROR(INDEX(Weights!$B$14:$B$17,MATCH(TEXT(J434,"0"),Weights!$A$14:$A$17,0)),0)/(1+N(N434)/50),1))</f>
        <v/>
      </c>
      <c r="Q434" s="5" t="s">
        <v>42</v>
      </c>
    </row>
    <row r="435" customFormat="false" ht="15" hidden="false" customHeight="false" outlineLevel="0" collapsed="false">
      <c r="A435" s="5" t="n">
        <v>434</v>
      </c>
      <c r="B435" s="5" t="s">
        <v>553</v>
      </c>
      <c r="C435" s="5" t="s">
        <v>548</v>
      </c>
      <c r="D435" s="5" t="s">
        <v>549</v>
      </c>
      <c r="E435" s="5" t="s">
        <v>37</v>
      </c>
      <c r="F435" s="5" t="s">
        <v>385</v>
      </c>
      <c r="G435" s="5" t="s">
        <v>39</v>
      </c>
      <c r="H435" s="5" t="s">
        <v>40</v>
      </c>
      <c r="I435" s="5" t="s">
        <v>550</v>
      </c>
      <c r="J435" s="5" t="n">
        <v>1</v>
      </c>
      <c r="K435" s="5"/>
      <c r="L435" s="6"/>
      <c r="M435" s="6"/>
      <c r="N435" s="6"/>
      <c r="O435" s="6"/>
      <c r="P435" s="5" t="str">
        <f aca="false">IF(M435="","",ROUND(M435*IFERROR(INDEX(Weights!$B$2:$B$4,MATCH(G435,Weights!$A$2:$A$4,0)),0)*IFERROR(INDEX(Weights!$B$7:$B$11,MATCH(E435,Weights!$A$7:$A$11,0)),0)*IFERROR(INDEX(Weights!$B$14:$B$17,MATCH(TEXT(J435,"0"),Weights!$A$14:$A$17,0)),0)/(1+N(N435)/50),1))</f>
        <v/>
      </c>
      <c r="Q435" s="5" t="s">
        <v>42</v>
      </c>
    </row>
    <row r="436" customFormat="false" ht="15" hidden="false" customHeight="false" outlineLevel="0" collapsed="false">
      <c r="A436" s="5" t="n">
        <v>435</v>
      </c>
      <c r="B436" s="5" t="s">
        <v>554</v>
      </c>
      <c r="C436" s="5" t="s">
        <v>548</v>
      </c>
      <c r="D436" s="5" t="s">
        <v>549</v>
      </c>
      <c r="E436" s="5" t="s">
        <v>37</v>
      </c>
      <c r="F436" s="5" t="s">
        <v>385</v>
      </c>
      <c r="G436" s="5" t="s">
        <v>39</v>
      </c>
      <c r="H436" s="5" t="s">
        <v>40</v>
      </c>
      <c r="I436" s="5" t="s">
        <v>550</v>
      </c>
      <c r="J436" s="5" t="n">
        <v>1</v>
      </c>
      <c r="K436" s="5"/>
      <c r="L436" s="6"/>
      <c r="M436" s="6"/>
      <c r="N436" s="6"/>
      <c r="O436" s="6"/>
      <c r="P436" s="5" t="str">
        <f aca="false">IF(M436="","",ROUND(M436*IFERROR(INDEX(Weights!$B$2:$B$4,MATCH(G436,Weights!$A$2:$A$4,0)),0)*IFERROR(INDEX(Weights!$B$7:$B$11,MATCH(E436,Weights!$A$7:$A$11,0)),0)*IFERROR(INDEX(Weights!$B$14:$B$17,MATCH(TEXT(J436,"0"),Weights!$A$14:$A$17,0)),0)/(1+N(N436)/50),1))</f>
        <v/>
      </c>
      <c r="Q436" s="5" t="s">
        <v>42</v>
      </c>
    </row>
    <row r="437" customFormat="false" ht="15" hidden="false" customHeight="false" outlineLevel="0" collapsed="false">
      <c r="A437" s="5" t="n">
        <v>436</v>
      </c>
      <c r="B437" s="5" t="s">
        <v>555</v>
      </c>
      <c r="C437" s="5" t="s">
        <v>548</v>
      </c>
      <c r="D437" s="5" t="s">
        <v>549</v>
      </c>
      <c r="E437" s="5" t="s">
        <v>37</v>
      </c>
      <c r="F437" s="5" t="s">
        <v>385</v>
      </c>
      <c r="G437" s="5" t="s">
        <v>39</v>
      </c>
      <c r="H437" s="5" t="s">
        <v>40</v>
      </c>
      <c r="I437" s="5" t="s">
        <v>550</v>
      </c>
      <c r="J437" s="5" t="n">
        <v>1</v>
      </c>
      <c r="K437" s="5"/>
      <c r="L437" s="6"/>
      <c r="M437" s="6"/>
      <c r="N437" s="6"/>
      <c r="O437" s="6"/>
      <c r="P437" s="5" t="str">
        <f aca="false">IF(M437="","",ROUND(M437*IFERROR(INDEX(Weights!$B$2:$B$4,MATCH(G437,Weights!$A$2:$A$4,0)),0)*IFERROR(INDEX(Weights!$B$7:$B$11,MATCH(E437,Weights!$A$7:$A$11,0)),0)*IFERROR(INDEX(Weights!$B$14:$B$17,MATCH(TEXT(J437,"0"),Weights!$A$14:$A$17,0)),0)/(1+N(N437)/50),1))</f>
        <v/>
      </c>
      <c r="Q437" s="5" t="s">
        <v>42</v>
      </c>
    </row>
    <row r="438" customFormat="false" ht="15" hidden="false" customHeight="false" outlineLevel="0" collapsed="false">
      <c r="A438" s="5" t="n">
        <v>437</v>
      </c>
      <c r="B438" s="5" t="s">
        <v>556</v>
      </c>
      <c r="C438" s="5" t="s">
        <v>548</v>
      </c>
      <c r="D438" s="5" t="s">
        <v>549</v>
      </c>
      <c r="E438" s="5" t="s">
        <v>37</v>
      </c>
      <c r="F438" s="5" t="s">
        <v>385</v>
      </c>
      <c r="G438" s="5" t="s">
        <v>39</v>
      </c>
      <c r="H438" s="5" t="s">
        <v>40</v>
      </c>
      <c r="I438" s="5" t="s">
        <v>550</v>
      </c>
      <c r="J438" s="5" t="n">
        <v>2</v>
      </c>
      <c r="K438" s="5"/>
      <c r="L438" s="6"/>
      <c r="M438" s="6"/>
      <c r="N438" s="6"/>
      <c r="O438" s="6"/>
      <c r="P438" s="5" t="str">
        <f aca="false">IF(M438="","",ROUND(M438*IFERROR(INDEX(Weights!$B$2:$B$4,MATCH(G438,Weights!$A$2:$A$4,0)),0)*IFERROR(INDEX(Weights!$B$7:$B$11,MATCH(E438,Weights!$A$7:$A$11,0)),0)*IFERROR(INDEX(Weights!$B$14:$B$17,MATCH(TEXT(J438,"0"),Weights!$A$14:$A$17,0)),0)/(1+N(N438)/50),1))</f>
        <v/>
      </c>
      <c r="Q438" s="5" t="s">
        <v>42</v>
      </c>
    </row>
    <row r="439" customFormat="false" ht="15" hidden="false" customHeight="false" outlineLevel="0" collapsed="false">
      <c r="A439" s="5" t="n">
        <v>438</v>
      </c>
      <c r="B439" s="5" t="s">
        <v>557</v>
      </c>
      <c r="C439" s="5" t="s">
        <v>35</v>
      </c>
      <c r="D439" s="5" t="s">
        <v>403</v>
      </c>
      <c r="E439" s="5" t="s">
        <v>37</v>
      </c>
      <c r="F439" s="5" t="s">
        <v>385</v>
      </c>
      <c r="G439" s="5" t="s">
        <v>404</v>
      </c>
      <c r="H439" s="5" t="s">
        <v>405</v>
      </c>
      <c r="I439" s="5" t="s">
        <v>406</v>
      </c>
      <c r="J439" s="5" t="n">
        <v>1</v>
      </c>
      <c r="K439" s="5"/>
      <c r="L439" s="6"/>
      <c r="M439" s="6"/>
      <c r="N439" s="6"/>
      <c r="O439" s="6"/>
      <c r="P439" s="5" t="str">
        <f aca="false">IF(M439="","",ROUND(M439*IFERROR(INDEX(Weights!$B$2:$B$4,MATCH(G439,Weights!$A$2:$A$4,0)),0)*IFERROR(INDEX(Weights!$B$7:$B$11,MATCH(E439,Weights!$A$7:$A$11,0)),0)*IFERROR(INDEX(Weights!$B$14:$B$17,MATCH(TEXT(J439,"0"),Weights!$A$14:$A$17,0)),0)/(1+N(N439)/50),1))</f>
        <v/>
      </c>
      <c r="Q439" s="5" t="s">
        <v>42</v>
      </c>
    </row>
    <row r="440" customFormat="false" ht="15" hidden="false" customHeight="false" outlineLevel="0" collapsed="false">
      <c r="A440" s="5" t="n">
        <v>439</v>
      </c>
      <c r="B440" s="5" t="s">
        <v>558</v>
      </c>
      <c r="C440" s="5" t="s">
        <v>35</v>
      </c>
      <c r="D440" s="5" t="s">
        <v>403</v>
      </c>
      <c r="E440" s="5" t="s">
        <v>37</v>
      </c>
      <c r="F440" s="5" t="s">
        <v>385</v>
      </c>
      <c r="G440" s="5" t="s">
        <v>404</v>
      </c>
      <c r="H440" s="5" t="s">
        <v>405</v>
      </c>
      <c r="I440" s="5" t="s">
        <v>559</v>
      </c>
      <c r="J440" s="5" t="n">
        <v>1</v>
      </c>
      <c r="K440" s="5"/>
      <c r="L440" s="6"/>
      <c r="M440" s="6"/>
      <c r="N440" s="6"/>
      <c r="O440" s="6"/>
      <c r="P440" s="5" t="str">
        <f aca="false">IF(M440="","",ROUND(M440*IFERROR(INDEX(Weights!$B$2:$B$4,MATCH(G440,Weights!$A$2:$A$4,0)),0)*IFERROR(INDEX(Weights!$B$7:$B$11,MATCH(E440,Weights!$A$7:$A$11,0)),0)*IFERROR(INDEX(Weights!$B$14:$B$17,MATCH(TEXT(J440,"0"),Weights!$A$14:$A$17,0)),0)/(1+N(N440)/50),1))</f>
        <v/>
      </c>
      <c r="Q440" s="5" t="s">
        <v>42</v>
      </c>
    </row>
    <row r="441" customFormat="false" ht="15" hidden="false" customHeight="false" outlineLevel="0" collapsed="false">
      <c r="A441" s="5" t="n">
        <v>440</v>
      </c>
      <c r="B441" s="5" t="s">
        <v>560</v>
      </c>
      <c r="C441" s="5" t="s">
        <v>35</v>
      </c>
      <c r="D441" s="5" t="s">
        <v>403</v>
      </c>
      <c r="E441" s="5" t="s">
        <v>37</v>
      </c>
      <c r="F441" s="5" t="s">
        <v>385</v>
      </c>
      <c r="G441" s="5" t="s">
        <v>404</v>
      </c>
      <c r="H441" s="5" t="s">
        <v>405</v>
      </c>
      <c r="I441" s="5" t="s">
        <v>559</v>
      </c>
      <c r="J441" s="5" t="n">
        <v>1</v>
      </c>
      <c r="K441" s="5"/>
      <c r="L441" s="6"/>
      <c r="M441" s="6"/>
      <c r="N441" s="6"/>
      <c r="O441" s="6"/>
      <c r="P441" s="5" t="str">
        <f aca="false">IF(M441="","",ROUND(M441*IFERROR(INDEX(Weights!$B$2:$B$4,MATCH(G441,Weights!$A$2:$A$4,0)),0)*IFERROR(INDEX(Weights!$B$7:$B$11,MATCH(E441,Weights!$A$7:$A$11,0)),0)*IFERROR(INDEX(Weights!$B$14:$B$17,MATCH(TEXT(J441,"0"),Weights!$A$14:$A$17,0)),0)/(1+N(N441)/50),1))</f>
        <v/>
      </c>
      <c r="Q441" s="5" t="s">
        <v>42</v>
      </c>
    </row>
    <row r="442" customFormat="false" ht="15" hidden="false" customHeight="false" outlineLevel="0" collapsed="false">
      <c r="A442" s="5" t="n">
        <v>441</v>
      </c>
      <c r="B442" s="5" t="s">
        <v>561</v>
      </c>
      <c r="C442" s="5" t="s">
        <v>35</v>
      </c>
      <c r="D442" s="5" t="s">
        <v>403</v>
      </c>
      <c r="E442" s="5" t="s">
        <v>37</v>
      </c>
      <c r="F442" s="5" t="s">
        <v>385</v>
      </c>
      <c r="G442" s="5" t="s">
        <v>404</v>
      </c>
      <c r="H442" s="5" t="s">
        <v>405</v>
      </c>
      <c r="I442" s="5" t="s">
        <v>406</v>
      </c>
      <c r="J442" s="5" t="n">
        <v>1</v>
      </c>
      <c r="K442" s="5"/>
      <c r="L442" s="6"/>
      <c r="M442" s="6"/>
      <c r="N442" s="6"/>
      <c r="O442" s="6"/>
      <c r="P442" s="5" t="str">
        <f aca="false">IF(M442="","",ROUND(M442*IFERROR(INDEX(Weights!$B$2:$B$4,MATCH(G442,Weights!$A$2:$A$4,0)),0)*IFERROR(INDEX(Weights!$B$7:$B$11,MATCH(E442,Weights!$A$7:$A$11,0)),0)*IFERROR(INDEX(Weights!$B$14:$B$17,MATCH(TEXT(J442,"0"),Weights!$A$14:$A$17,0)),0)/(1+N(N442)/50),1))</f>
        <v/>
      </c>
      <c r="Q442" s="5" t="s">
        <v>42</v>
      </c>
    </row>
    <row r="443" customFormat="false" ht="15" hidden="false" customHeight="false" outlineLevel="0" collapsed="false">
      <c r="A443" s="5" t="n">
        <v>442</v>
      </c>
      <c r="B443" s="5" t="s">
        <v>562</v>
      </c>
      <c r="C443" s="5" t="s">
        <v>47</v>
      </c>
      <c r="D443" s="5" t="s">
        <v>403</v>
      </c>
      <c r="E443" s="5" t="s">
        <v>37</v>
      </c>
      <c r="F443" s="5" t="s">
        <v>385</v>
      </c>
      <c r="G443" s="5" t="s">
        <v>404</v>
      </c>
      <c r="H443" s="5" t="s">
        <v>405</v>
      </c>
      <c r="I443" s="5" t="s">
        <v>406</v>
      </c>
      <c r="J443" s="5" t="n">
        <v>1</v>
      </c>
      <c r="K443" s="5"/>
      <c r="L443" s="6"/>
      <c r="M443" s="6"/>
      <c r="N443" s="6"/>
      <c r="O443" s="6"/>
      <c r="P443" s="5" t="str">
        <f aca="false">IF(M443="","",ROUND(M443*IFERROR(INDEX(Weights!$B$2:$B$4,MATCH(G443,Weights!$A$2:$A$4,0)),0)*IFERROR(INDEX(Weights!$B$7:$B$11,MATCH(E443,Weights!$A$7:$A$11,0)),0)*IFERROR(INDEX(Weights!$B$14:$B$17,MATCH(TEXT(J443,"0"),Weights!$A$14:$A$17,0)),0)/(1+N(N443)/50),1))</f>
        <v/>
      </c>
      <c r="Q443" s="5" t="s">
        <v>42</v>
      </c>
    </row>
    <row r="444" customFormat="false" ht="15" hidden="false" customHeight="false" outlineLevel="0" collapsed="false">
      <c r="A444" s="5" t="n">
        <v>443</v>
      </c>
      <c r="B444" s="5" t="s">
        <v>563</v>
      </c>
      <c r="C444" s="5" t="s">
        <v>456</v>
      </c>
      <c r="D444" s="5" t="s">
        <v>403</v>
      </c>
      <c r="E444" s="5" t="s">
        <v>37</v>
      </c>
      <c r="F444" s="5" t="s">
        <v>385</v>
      </c>
      <c r="G444" s="5" t="s">
        <v>404</v>
      </c>
      <c r="H444" s="5" t="s">
        <v>405</v>
      </c>
      <c r="I444" s="5" t="s">
        <v>406</v>
      </c>
      <c r="J444" s="5" t="n">
        <v>1</v>
      </c>
      <c r="K444" s="5"/>
      <c r="L444" s="6"/>
      <c r="M444" s="6"/>
      <c r="N444" s="6"/>
      <c r="O444" s="6"/>
      <c r="P444" s="5" t="str">
        <f aca="false">IF(M444="","",ROUND(M444*IFERROR(INDEX(Weights!$B$2:$B$4,MATCH(G444,Weights!$A$2:$A$4,0)),0)*IFERROR(INDEX(Weights!$B$7:$B$11,MATCH(E444,Weights!$A$7:$A$11,0)),0)*IFERROR(INDEX(Weights!$B$14:$B$17,MATCH(TEXT(J444,"0"),Weights!$A$14:$A$17,0)),0)/(1+N(N444)/50),1))</f>
        <v/>
      </c>
      <c r="Q444" s="5" t="s">
        <v>42</v>
      </c>
    </row>
    <row r="445" customFormat="false" ht="15" hidden="false" customHeight="false" outlineLevel="0" collapsed="false">
      <c r="A445" s="5" t="n">
        <v>444</v>
      </c>
      <c r="B445" s="5" t="s">
        <v>564</v>
      </c>
      <c r="C445" s="5" t="s">
        <v>456</v>
      </c>
      <c r="D445" s="5" t="s">
        <v>403</v>
      </c>
      <c r="E445" s="5" t="s">
        <v>37</v>
      </c>
      <c r="F445" s="5" t="s">
        <v>385</v>
      </c>
      <c r="G445" s="5" t="s">
        <v>404</v>
      </c>
      <c r="H445" s="5" t="s">
        <v>405</v>
      </c>
      <c r="I445" s="5" t="s">
        <v>406</v>
      </c>
      <c r="J445" s="5" t="n">
        <v>1</v>
      </c>
      <c r="K445" s="5"/>
      <c r="L445" s="6"/>
      <c r="M445" s="6"/>
      <c r="N445" s="6"/>
      <c r="O445" s="6"/>
      <c r="P445" s="5" t="str">
        <f aca="false">IF(M445="","",ROUND(M445*IFERROR(INDEX(Weights!$B$2:$B$4,MATCH(G445,Weights!$A$2:$A$4,0)),0)*IFERROR(INDEX(Weights!$B$7:$B$11,MATCH(E445,Weights!$A$7:$A$11,0)),0)*IFERROR(INDEX(Weights!$B$14:$B$17,MATCH(TEXT(J445,"0"),Weights!$A$14:$A$17,0)),0)/(1+N(N445)/50),1))</f>
        <v/>
      </c>
      <c r="Q445" s="5" t="s">
        <v>42</v>
      </c>
    </row>
    <row r="446" customFormat="false" ht="15" hidden="false" customHeight="false" outlineLevel="0" collapsed="false">
      <c r="A446" s="5" t="n">
        <v>445</v>
      </c>
      <c r="B446" s="5" t="s">
        <v>565</v>
      </c>
      <c r="C446" s="5" t="s">
        <v>456</v>
      </c>
      <c r="D446" s="5" t="s">
        <v>403</v>
      </c>
      <c r="E446" s="5" t="s">
        <v>37</v>
      </c>
      <c r="F446" s="5" t="s">
        <v>385</v>
      </c>
      <c r="G446" s="5" t="s">
        <v>404</v>
      </c>
      <c r="H446" s="5" t="s">
        <v>405</v>
      </c>
      <c r="I446" s="5" t="s">
        <v>406</v>
      </c>
      <c r="J446" s="5" t="n">
        <v>1</v>
      </c>
      <c r="K446" s="5"/>
      <c r="L446" s="6"/>
      <c r="M446" s="6"/>
      <c r="N446" s="6"/>
      <c r="O446" s="6"/>
      <c r="P446" s="5" t="str">
        <f aca="false">IF(M446="","",ROUND(M446*IFERROR(INDEX(Weights!$B$2:$B$4,MATCH(G446,Weights!$A$2:$A$4,0)),0)*IFERROR(INDEX(Weights!$B$7:$B$11,MATCH(E446,Weights!$A$7:$A$11,0)),0)*IFERROR(INDEX(Weights!$B$14:$B$17,MATCH(TEXT(J446,"0"),Weights!$A$14:$A$17,0)),0)/(1+N(N446)/50),1))</f>
        <v/>
      </c>
      <c r="Q446" s="5" t="s">
        <v>42</v>
      </c>
    </row>
    <row r="447" customFormat="false" ht="15" hidden="false" customHeight="false" outlineLevel="0" collapsed="false">
      <c r="A447" s="5" t="n">
        <v>446</v>
      </c>
      <c r="B447" s="5" t="s">
        <v>566</v>
      </c>
      <c r="C447" s="5" t="s">
        <v>456</v>
      </c>
      <c r="D447" s="5" t="s">
        <v>403</v>
      </c>
      <c r="E447" s="5" t="s">
        <v>37</v>
      </c>
      <c r="F447" s="5" t="s">
        <v>385</v>
      </c>
      <c r="G447" s="5" t="s">
        <v>404</v>
      </c>
      <c r="H447" s="5" t="s">
        <v>405</v>
      </c>
      <c r="I447" s="5" t="s">
        <v>406</v>
      </c>
      <c r="J447" s="5" t="n">
        <v>1</v>
      </c>
      <c r="K447" s="5"/>
      <c r="L447" s="6"/>
      <c r="M447" s="6"/>
      <c r="N447" s="6"/>
      <c r="O447" s="6"/>
      <c r="P447" s="5" t="str">
        <f aca="false">IF(M447="","",ROUND(M447*IFERROR(INDEX(Weights!$B$2:$B$4,MATCH(G447,Weights!$A$2:$A$4,0)),0)*IFERROR(INDEX(Weights!$B$7:$B$11,MATCH(E447,Weights!$A$7:$A$11,0)),0)*IFERROR(INDEX(Weights!$B$14:$B$17,MATCH(TEXT(J447,"0"),Weights!$A$14:$A$17,0)),0)/(1+N(N447)/50),1))</f>
        <v/>
      </c>
      <c r="Q447" s="5" t="s">
        <v>42</v>
      </c>
    </row>
    <row r="448" customFormat="false" ht="15" hidden="false" customHeight="false" outlineLevel="0" collapsed="false">
      <c r="A448" s="5" t="n">
        <v>447</v>
      </c>
      <c r="B448" s="5" t="s">
        <v>567</v>
      </c>
      <c r="C448" s="5" t="s">
        <v>456</v>
      </c>
      <c r="D448" s="5" t="s">
        <v>19</v>
      </c>
      <c r="E448" s="5" t="s">
        <v>37</v>
      </c>
      <c r="F448" s="5" t="s">
        <v>385</v>
      </c>
      <c r="G448" s="5" t="s">
        <v>39</v>
      </c>
      <c r="H448" s="5" t="s">
        <v>40</v>
      </c>
      <c r="I448" s="5" t="s">
        <v>457</v>
      </c>
      <c r="J448" s="5" t="n">
        <v>1</v>
      </c>
      <c r="K448" s="5"/>
      <c r="L448" s="6"/>
      <c r="M448" s="6"/>
      <c r="N448" s="6"/>
      <c r="O448" s="6"/>
      <c r="P448" s="5" t="str">
        <f aca="false">IF(M448="","",ROUND(M448*IFERROR(INDEX(Weights!$B$2:$B$4,MATCH(G448,Weights!$A$2:$A$4,0)),0)*IFERROR(INDEX(Weights!$B$7:$B$11,MATCH(E448,Weights!$A$7:$A$11,0)),0)*IFERROR(INDEX(Weights!$B$14:$B$17,MATCH(TEXT(J448,"0"),Weights!$A$14:$A$17,0)),0)/(1+N(N448)/50),1))</f>
        <v/>
      </c>
      <c r="Q448" s="5" t="s">
        <v>42</v>
      </c>
    </row>
    <row r="449" customFormat="false" ht="15" hidden="false" customHeight="false" outlineLevel="0" collapsed="false">
      <c r="A449" s="5" t="n">
        <v>448</v>
      </c>
      <c r="B449" s="5" t="s">
        <v>568</v>
      </c>
      <c r="C449" s="5" t="s">
        <v>456</v>
      </c>
      <c r="D449" s="5" t="s">
        <v>19</v>
      </c>
      <c r="E449" s="5" t="s">
        <v>37</v>
      </c>
      <c r="F449" s="5" t="s">
        <v>385</v>
      </c>
      <c r="G449" s="5" t="s">
        <v>39</v>
      </c>
      <c r="H449" s="5" t="s">
        <v>40</v>
      </c>
      <c r="I449" s="5" t="s">
        <v>457</v>
      </c>
      <c r="J449" s="5" t="n">
        <v>1</v>
      </c>
      <c r="K449" s="5"/>
      <c r="L449" s="6"/>
      <c r="M449" s="6"/>
      <c r="N449" s="6"/>
      <c r="O449" s="6"/>
      <c r="P449" s="5" t="str">
        <f aca="false">IF(M449="","",ROUND(M449*IFERROR(INDEX(Weights!$B$2:$B$4,MATCH(G449,Weights!$A$2:$A$4,0)),0)*IFERROR(INDEX(Weights!$B$7:$B$11,MATCH(E449,Weights!$A$7:$A$11,0)),0)*IFERROR(INDEX(Weights!$B$14:$B$17,MATCH(TEXT(J449,"0"),Weights!$A$14:$A$17,0)),0)/(1+N(N449)/50),1))</f>
        <v/>
      </c>
      <c r="Q449" s="5" t="s">
        <v>42</v>
      </c>
    </row>
    <row r="450" customFormat="false" ht="15" hidden="false" customHeight="false" outlineLevel="0" collapsed="false">
      <c r="A450" s="5" t="n">
        <v>449</v>
      </c>
      <c r="B450" s="5" t="s">
        <v>569</v>
      </c>
      <c r="C450" s="5" t="s">
        <v>57</v>
      </c>
      <c r="D450" s="5" t="s">
        <v>19</v>
      </c>
      <c r="E450" s="5" t="s">
        <v>37</v>
      </c>
      <c r="F450" s="5" t="s">
        <v>385</v>
      </c>
      <c r="G450" s="5" t="s">
        <v>39</v>
      </c>
      <c r="H450" s="5" t="s">
        <v>40</v>
      </c>
      <c r="I450" s="5" t="s">
        <v>58</v>
      </c>
      <c r="J450" s="5" t="n">
        <v>1</v>
      </c>
      <c r="K450" s="5"/>
      <c r="L450" s="6"/>
      <c r="M450" s="6"/>
      <c r="N450" s="6"/>
      <c r="O450" s="6"/>
      <c r="P450" s="5" t="str">
        <f aca="false">IF(M450="","",ROUND(M450*IFERROR(INDEX(Weights!$B$2:$B$4,MATCH(G450,Weights!$A$2:$A$4,0)),0)*IFERROR(INDEX(Weights!$B$7:$B$11,MATCH(E450,Weights!$A$7:$A$11,0)),0)*IFERROR(INDEX(Weights!$B$14:$B$17,MATCH(TEXT(J450,"0"),Weights!$A$14:$A$17,0)),0)/(1+N(N450)/50),1))</f>
        <v/>
      </c>
      <c r="Q450" s="5" t="s">
        <v>42</v>
      </c>
    </row>
    <row r="451" customFormat="false" ht="15" hidden="false" customHeight="false" outlineLevel="0" collapsed="false">
      <c r="A451" s="5" t="n">
        <v>450</v>
      </c>
      <c r="B451" s="5" t="s">
        <v>570</v>
      </c>
      <c r="C451" s="5" t="s">
        <v>35</v>
      </c>
      <c r="D451" s="5" t="s">
        <v>19</v>
      </c>
      <c r="E451" s="5" t="s">
        <v>37</v>
      </c>
      <c r="F451" s="5" t="s">
        <v>385</v>
      </c>
      <c r="G451" s="5" t="s">
        <v>39</v>
      </c>
      <c r="H451" s="5" t="s">
        <v>40</v>
      </c>
      <c r="I451" s="5" t="s">
        <v>386</v>
      </c>
      <c r="J451" s="5" t="n">
        <v>1</v>
      </c>
      <c r="K451" s="5"/>
      <c r="L451" s="6"/>
      <c r="M451" s="6"/>
      <c r="N451" s="6"/>
      <c r="O451" s="6"/>
      <c r="P451" s="5" t="str">
        <f aca="false">IF(M451="","",ROUND(M451*IFERROR(INDEX(Weights!$B$2:$B$4,MATCH(G451,Weights!$A$2:$A$4,0)),0)*IFERROR(INDEX(Weights!$B$7:$B$11,MATCH(E451,Weights!$A$7:$A$11,0)),0)*IFERROR(INDEX(Weights!$B$14:$B$17,MATCH(TEXT(J451,"0"),Weights!$A$14:$A$17,0)),0)/(1+N(N451)/50),1))</f>
        <v/>
      </c>
      <c r="Q451" s="5" t="s">
        <v>42</v>
      </c>
    </row>
    <row r="452" customFormat="false" ht="15" hidden="false" customHeight="false" outlineLevel="0" collapsed="false">
      <c r="A452" s="5" t="n">
        <v>451</v>
      </c>
      <c r="B452" s="5" t="s">
        <v>571</v>
      </c>
      <c r="C452" s="5" t="s">
        <v>464</v>
      </c>
      <c r="D452" s="5" t="s">
        <v>19</v>
      </c>
      <c r="E452" s="5" t="s">
        <v>37</v>
      </c>
      <c r="F452" s="5" t="s">
        <v>385</v>
      </c>
      <c r="G452" s="5" t="s">
        <v>39</v>
      </c>
      <c r="H452" s="5" t="s">
        <v>40</v>
      </c>
      <c r="I452" s="5" t="s">
        <v>465</v>
      </c>
      <c r="J452" s="5" t="n">
        <v>1</v>
      </c>
      <c r="K452" s="5"/>
      <c r="L452" s="6"/>
      <c r="M452" s="6"/>
      <c r="N452" s="6"/>
      <c r="O452" s="6"/>
      <c r="P452" s="5" t="str">
        <f aca="false">IF(M452="","",ROUND(M452*IFERROR(INDEX(Weights!$B$2:$B$4,MATCH(G452,Weights!$A$2:$A$4,0)),0)*IFERROR(INDEX(Weights!$B$7:$B$11,MATCH(E452,Weights!$A$7:$A$11,0)),0)*IFERROR(INDEX(Weights!$B$14:$B$17,MATCH(TEXT(J452,"0"),Weights!$A$14:$A$17,0)),0)/(1+N(N452)/50),1))</f>
        <v/>
      </c>
      <c r="Q452" s="5" t="s">
        <v>42</v>
      </c>
    </row>
    <row r="453" customFormat="false" ht="15" hidden="false" customHeight="false" outlineLevel="0" collapsed="false">
      <c r="A453" s="5" t="n">
        <v>452</v>
      </c>
      <c r="B453" s="5" t="s">
        <v>572</v>
      </c>
      <c r="C453" s="5" t="s">
        <v>464</v>
      </c>
      <c r="D453" s="5" t="s">
        <v>19</v>
      </c>
      <c r="E453" s="5" t="s">
        <v>37</v>
      </c>
      <c r="F453" s="5" t="s">
        <v>385</v>
      </c>
      <c r="G453" s="5" t="s">
        <v>39</v>
      </c>
      <c r="H453" s="5" t="s">
        <v>40</v>
      </c>
      <c r="I453" s="5" t="s">
        <v>465</v>
      </c>
      <c r="J453" s="5" t="n">
        <v>1</v>
      </c>
      <c r="K453" s="5"/>
      <c r="L453" s="6"/>
      <c r="M453" s="6"/>
      <c r="N453" s="6"/>
      <c r="O453" s="6"/>
      <c r="P453" s="5" t="str">
        <f aca="false">IF(M453="","",ROUND(M453*IFERROR(INDEX(Weights!$B$2:$B$4,MATCH(G453,Weights!$A$2:$A$4,0)),0)*IFERROR(INDEX(Weights!$B$7:$B$11,MATCH(E453,Weights!$A$7:$A$11,0)),0)*IFERROR(INDEX(Weights!$B$14:$B$17,MATCH(TEXT(J453,"0"),Weights!$A$14:$A$17,0)),0)/(1+N(N453)/50),1))</f>
        <v/>
      </c>
      <c r="Q453" s="5" t="s">
        <v>42</v>
      </c>
    </row>
    <row r="454" customFormat="false" ht="15" hidden="false" customHeight="false" outlineLevel="0" collapsed="false">
      <c r="A454" s="5" t="n">
        <v>453</v>
      </c>
      <c r="B454" s="5" t="s">
        <v>573</v>
      </c>
      <c r="C454" s="5" t="s">
        <v>464</v>
      </c>
      <c r="D454" s="5" t="s">
        <v>19</v>
      </c>
      <c r="E454" s="5" t="s">
        <v>37</v>
      </c>
      <c r="F454" s="5" t="s">
        <v>385</v>
      </c>
      <c r="G454" s="5" t="s">
        <v>39</v>
      </c>
      <c r="H454" s="5" t="s">
        <v>40</v>
      </c>
      <c r="I454" s="5" t="s">
        <v>465</v>
      </c>
      <c r="J454" s="5" t="n">
        <v>2</v>
      </c>
      <c r="K454" s="5"/>
      <c r="L454" s="6"/>
      <c r="M454" s="6"/>
      <c r="N454" s="6"/>
      <c r="O454" s="6"/>
      <c r="P454" s="5" t="str">
        <f aca="false">IF(M454="","",ROUND(M454*IFERROR(INDEX(Weights!$B$2:$B$4,MATCH(G454,Weights!$A$2:$A$4,0)),0)*IFERROR(INDEX(Weights!$B$7:$B$11,MATCH(E454,Weights!$A$7:$A$11,0)),0)*IFERROR(INDEX(Weights!$B$14:$B$17,MATCH(TEXT(J454,"0"),Weights!$A$14:$A$17,0)),0)/(1+N(N454)/50),1))</f>
        <v/>
      </c>
      <c r="Q454" s="5" t="s">
        <v>42</v>
      </c>
    </row>
    <row r="455" customFormat="false" ht="15" hidden="false" customHeight="false" outlineLevel="0" collapsed="false">
      <c r="A455" s="5" t="n">
        <v>454</v>
      </c>
      <c r="B455" s="5" t="s">
        <v>574</v>
      </c>
      <c r="C455" s="5" t="s">
        <v>464</v>
      </c>
      <c r="D455" s="5" t="s">
        <v>19</v>
      </c>
      <c r="E455" s="5" t="s">
        <v>37</v>
      </c>
      <c r="F455" s="5" t="s">
        <v>385</v>
      </c>
      <c r="G455" s="5" t="s">
        <v>39</v>
      </c>
      <c r="H455" s="5" t="s">
        <v>40</v>
      </c>
      <c r="I455" s="5" t="s">
        <v>465</v>
      </c>
      <c r="J455" s="5" t="n">
        <v>2</v>
      </c>
      <c r="K455" s="5"/>
      <c r="L455" s="6"/>
      <c r="M455" s="6"/>
      <c r="N455" s="6"/>
      <c r="O455" s="6"/>
      <c r="P455" s="5" t="str">
        <f aca="false">IF(M455="","",ROUND(M455*IFERROR(INDEX(Weights!$B$2:$B$4,MATCH(G455,Weights!$A$2:$A$4,0)),0)*IFERROR(INDEX(Weights!$B$7:$B$11,MATCH(E455,Weights!$A$7:$A$11,0)),0)*IFERROR(INDEX(Weights!$B$14:$B$17,MATCH(TEXT(J455,"0"),Weights!$A$14:$A$17,0)),0)/(1+N(N455)/50),1))</f>
        <v/>
      </c>
      <c r="Q455" s="5" t="s">
        <v>42</v>
      </c>
    </row>
    <row r="456" customFormat="false" ht="15" hidden="false" customHeight="false" outlineLevel="0" collapsed="false">
      <c r="A456" s="5" t="n">
        <v>455</v>
      </c>
      <c r="B456" s="5" t="s">
        <v>575</v>
      </c>
      <c r="C456" s="5" t="s">
        <v>464</v>
      </c>
      <c r="D456" s="5" t="s">
        <v>393</v>
      </c>
      <c r="E456" s="5" t="s">
        <v>37</v>
      </c>
      <c r="F456" s="5" t="s">
        <v>385</v>
      </c>
      <c r="G456" s="5" t="s">
        <v>404</v>
      </c>
      <c r="H456" s="5" t="s">
        <v>405</v>
      </c>
      <c r="I456" s="5" t="s">
        <v>406</v>
      </c>
      <c r="J456" s="5" t="n">
        <v>2</v>
      </c>
      <c r="K456" s="5"/>
      <c r="L456" s="6"/>
      <c r="M456" s="6"/>
      <c r="N456" s="6"/>
      <c r="O456" s="6"/>
      <c r="P456" s="5" t="str">
        <f aca="false">IF(M456="","",ROUND(M456*IFERROR(INDEX(Weights!$B$2:$B$4,MATCH(G456,Weights!$A$2:$A$4,0)),0)*IFERROR(INDEX(Weights!$B$7:$B$11,MATCH(E456,Weights!$A$7:$A$11,0)),0)*IFERROR(INDEX(Weights!$B$14:$B$17,MATCH(TEXT(J456,"0"),Weights!$A$14:$A$17,0)),0)/(1+N(N456)/50),1))</f>
        <v/>
      </c>
      <c r="Q456" s="5" t="s">
        <v>42</v>
      </c>
    </row>
    <row r="457" customFormat="false" ht="15" hidden="false" customHeight="false" outlineLevel="0" collapsed="false">
      <c r="A457" s="5" t="n">
        <v>456</v>
      </c>
      <c r="B457" s="5" t="s">
        <v>576</v>
      </c>
      <c r="C457" s="5" t="s">
        <v>464</v>
      </c>
      <c r="D457" s="5" t="s">
        <v>403</v>
      </c>
      <c r="E457" s="5" t="s">
        <v>37</v>
      </c>
      <c r="F457" s="5" t="s">
        <v>385</v>
      </c>
      <c r="G457" s="5" t="s">
        <v>404</v>
      </c>
      <c r="H457" s="5" t="s">
        <v>405</v>
      </c>
      <c r="I457" s="5" t="s">
        <v>406</v>
      </c>
      <c r="J457" s="5" t="n">
        <v>2</v>
      </c>
      <c r="K457" s="5"/>
      <c r="L457" s="6"/>
      <c r="M457" s="6"/>
      <c r="N457" s="6"/>
      <c r="O457" s="6"/>
      <c r="P457" s="5" t="str">
        <f aca="false">IF(M457="","",ROUND(M457*IFERROR(INDEX(Weights!$B$2:$B$4,MATCH(G457,Weights!$A$2:$A$4,0)),0)*IFERROR(INDEX(Weights!$B$7:$B$11,MATCH(E457,Weights!$A$7:$A$11,0)),0)*IFERROR(INDEX(Weights!$B$14:$B$17,MATCH(TEXT(J457,"0"),Weights!$A$14:$A$17,0)),0)/(1+N(N457)/50),1))</f>
        <v/>
      </c>
      <c r="Q457" s="5" t="s">
        <v>42</v>
      </c>
    </row>
    <row r="458" customFormat="false" ht="15" hidden="false" customHeight="false" outlineLevel="0" collapsed="false">
      <c r="A458" s="5" t="n">
        <v>457</v>
      </c>
      <c r="B458" s="5" t="s">
        <v>577</v>
      </c>
      <c r="C458" s="5" t="s">
        <v>464</v>
      </c>
      <c r="D458" s="5" t="s">
        <v>403</v>
      </c>
      <c r="E458" s="5" t="s">
        <v>37</v>
      </c>
      <c r="F458" s="5" t="s">
        <v>385</v>
      </c>
      <c r="G458" s="5" t="s">
        <v>404</v>
      </c>
      <c r="H458" s="5" t="s">
        <v>405</v>
      </c>
      <c r="I458" s="5" t="s">
        <v>406</v>
      </c>
      <c r="J458" s="5" t="n">
        <v>2</v>
      </c>
      <c r="K458" s="5"/>
      <c r="L458" s="6"/>
      <c r="M458" s="6"/>
      <c r="N458" s="6"/>
      <c r="O458" s="6"/>
      <c r="P458" s="5" t="str">
        <f aca="false">IF(M458="","",ROUND(M458*IFERROR(INDEX(Weights!$B$2:$B$4,MATCH(G458,Weights!$A$2:$A$4,0)),0)*IFERROR(INDEX(Weights!$B$7:$B$11,MATCH(E458,Weights!$A$7:$A$11,0)),0)*IFERROR(INDEX(Weights!$B$14:$B$17,MATCH(TEXT(J458,"0"),Weights!$A$14:$A$17,0)),0)/(1+N(N458)/50),1))</f>
        <v/>
      </c>
      <c r="Q458" s="5" t="s">
        <v>42</v>
      </c>
    </row>
    <row r="459" customFormat="false" ht="15" hidden="false" customHeight="false" outlineLevel="0" collapsed="false">
      <c r="A459" s="5" t="n">
        <v>458</v>
      </c>
      <c r="B459" s="5" t="s">
        <v>578</v>
      </c>
      <c r="C459" s="5" t="s">
        <v>61</v>
      </c>
      <c r="D459" s="5" t="s">
        <v>399</v>
      </c>
      <c r="E459" s="5" t="s">
        <v>37</v>
      </c>
      <c r="F459" s="5" t="s">
        <v>385</v>
      </c>
      <c r="G459" s="5" t="s">
        <v>394</v>
      </c>
      <c r="H459" s="5" t="s">
        <v>395</v>
      </c>
      <c r="I459" s="5" t="s">
        <v>400</v>
      </c>
      <c r="J459" s="5" t="n">
        <v>2</v>
      </c>
      <c r="K459" s="5"/>
      <c r="L459" s="6"/>
      <c r="M459" s="6"/>
      <c r="N459" s="6"/>
      <c r="O459" s="6"/>
      <c r="P459" s="5" t="str">
        <f aca="false">IF(M459="","",ROUND(M459*IFERROR(INDEX(Weights!$B$2:$B$4,MATCH(G459,Weights!$A$2:$A$4,0)),0)*IFERROR(INDEX(Weights!$B$7:$B$11,MATCH(E459,Weights!$A$7:$A$11,0)),0)*IFERROR(INDEX(Weights!$B$14:$B$17,MATCH(TEXT(J459,"0"),Weights!$A$14:$A$17,0)),0)/(1+N(N459)/50),1))</f>
        <v/>
      </c>
      <c r="Q459" s="5" t="s">
        <v>42</v>
      </c>
    </row>
    <row r="460" customFormat="false" ht="15" hidden="false" customHeight="false" outlineLevel="0" collapsed="false">
      <c r="A460" s="5" t="n">
        <v>459</v>
      </c>
      <c r="B460" s="5" t="s">
        <v>579</v>
      </c>
      <c r="C460" s="5" t="s">
        <v>35</v>
      </c>
      <c r="D460" s="5" t="s">
        <v>393</v>
      </c>
      <c r="E460" s="5" t="s">
        <v>37</v>
      </c>
      <c r="F460" s="5" t="s">
        <v>385</v>
      </c>
      <c r="G460" s="5" t="s">
        <v>394</v>
      </c>
      <c r="H460" s="5" t="s">
        <v>395</v>
      </c>
      <c r="I460" s="5" t="s">
        <v>580</v>
      </c>
      <c r="J460" s="5" t="n">
        <v>1</v>
      </c>
      <c r="K460" s="5"/>
      <c r="L460" s="6"/>
      <c r="M460" s="6"/>
      <c r="N460" s="6"/>
      <c r="O460" s="6"/>
      <c r="P460" s="5" t="str">
        <f aca="false">IF(M460="","",ROUND(M460*IFERROR(INDEX(Weights!$B$2:$B$4,MATCH(G460,Weights!$A$2:$A$4,0)),0)*IFERROR(INDEX(Weights!$B$7:$B$11,MATCH(E460,Weights!$A$7:$A$11,0)),0)*IFERROR(INDEX(Weights!$B$14:$B$17,MATCH(TEXT(J460,"0"),Weights!$A$14:$A$17,0)),0)/(1+N(N460)/50),1))</f>
        <v/>
      </c>
      <c r="Q460" s="5" t="s">
        <v>42</v>
      </c>
    </row>
    <row r="461" customFormat="false" ht="15" hidden="false" customHeight="false" outlineLevel="0" collapsed="false">
      <c r="A461" s="5" t="n">
        <v>460</v>
      </c>
      <c r="B461" s="5" t="s">
        <v>581</v>
      </c>
      <c r="C461" s="5" t="s">
        <v>61</v>
      </c>
      <c r="D461" s="5" t="s">
        <v>19</v>
      </c>
      <c r="E461" s="5" t="s">
        <v>37</v>
      </c>
      <c r="F461" s="5" t="s">
        <v>385</v>
      </c>
      <c r="G461" s="5" t="s">
        <v>39</v>
      </c>
      <c r="H461" s="5" t="s">
        <v>40</v>
      </c>
      <c r="I461" s="5" t="s">
        <v>478</v>
      </c>
      <c r="J461" s="5" t="n">
        <v>2</v>
      </c>
      <c r="K461" s="5"/>
      <c r="L461" s="6"/>
      <c r="M461" s="6"/>
      <c r="N461" s="6"/>
      <c r="O461" s="6"/>
      <c r="P461" s="5" t="str">
        <f aca="false">IF(M461="","",ROUND(M461*IFERROR(INDEX(Weights!$B$2:$B$4,MATCH(G461,Weights!$A$2:$A$4,0)),0)*IFERROR(INDEX(Weights!$B$7:$B$11,MATCH(E461,Weights!$A$7:$A$11,0)),0)*IFERROR(INDEX(Weights!$B$14:$B$17,MATCH(TEXT(J461,"0"),Weights!$A$14:$A$17,0)),0)/(1+N(N461)/50),1))</f>
        <v/>
      </c>
      <c r="Q461" s="5" t="s">
        <v>42</v>
      </c>
    </row>
    <row r="462" customFormat="false" ht="15" hidden="false" customHeight="false" outlineLevel="0" collapsed="false">
      <c r="A462" s="5" t="n">
        <v>461</v>
      </c>
      <c r="B462" s="5" t="s">
        <v>582</v>
      </c>
      <c r="C462" s="5" t="s">
        <v>61</v>
      </c>
      <c r="D462" s="5" t="s">
        <v>19</v>
      </c>
      <c r="E462" s="5" t="s">
        <v>37</v>
      </c>
      <c r="F462" s="5" t="s">
        <v>385</v>
      </c>
      <c r="G462" s="5" t="s">
        <v>39</v>
      </c>
      <c r="H462" s="5" t="s">
        <v>40</v>
      </c>
      <c r="I462" s="5" t="s">
        <v>478</v>
      </c>
      <c r="J462" s="5" t="n">
        <v>2</v>
      </c>
      <c r="K462" s="5"/>
      <c r="L462" s="6"/>
      <c r="M462" s="6"/>
      <c r="N462" s="6"/>
      <c r="O462" s="6"/>
      <c r="P462" s="5" t="str">
        <f aca="false">IF(M462="","",ROUND(M462*IFERROR(INDEX(Weights!$B$2:$B$4,MATCH(G462,Weights!$A$2:$A$4,0)),0)*IFERROR(INDEX(Weights!$B$7:$B$11,MATCH(E462,Weights!$A$7:$A$11,0)),0)*IFERROR(INDEX(Weights!$B$14:$B$17,MATCH(TEXT(J462,"0"),Weights!$A$14:$A$17,0)),0)/(1+N(N462)/50),1))</f>
        <v/>
      </c>
      <c r="Q462" s="5" t="s">
        <v>42</v>
      </c>
    </row>
    <row r="463" customFormat="false" ht="15" hidden="false" customHeight="false" outlineLevel="0" collapsed="false">
      <c r="A463" s="5" t="n">
        <v>462</v>
      </c>
      <c r="B463" s="5" t="s">
        <v>583</v>
      </c>
      <c r="C463" s="5" t="s">
        <v>61</v>
      </c>
      <c r="D463" s="5" t="s">
        <v>393</v>
      </c>
      <c r="E463" s="5" t="s">
        <v>37</v>
      </c>
      <c r="F463" s="5" t="s">
        <v>385</v>
      </c>
      <c r="G463" s="5" t="s">
        <v>404</v>
      </c>
      <c r="H463" s="5" t="s">
        <v>405</v>
      </c>
      <c r="I463" s="5" t="s">
        <v>406</v>
      </c>
      <c r="J463" s="5" t="n">
        <v>2</v>
      </c>
      <c r="K463" s="5"/>
      <c r="L463" s="6"/>
      <c r="M463" s="6"/>
      <c r="N463" s="6"/>
      <c r="O463" s="6"/>
      <c r="P463" s="5" t="str">
        <f aca="false">IF(M463="","",ROUND(M463*IFERROR(INDEX(Weights!$B$2:$B$4,MATCH(G463,Weights!$A$2:$A$4,0)),0)*IFERROR(INDEX(Weights!$B$7:$B$11,MATCH(E463,Weights!$A$7:$A$11,0)),0)*IFERROR(INDEX(Weights!$B$14:$B$17,MATCH(TEXT(J463,"0"),Weights!$A$14:$A$17,0)),0)/(1+N(N463)/50),1))</f>
        <v/>
      </c>
      <c r="Q463" s="5" t="s">
        <v>42</v>
      </c>
    </row>
    <row r="464" customFormat="false" ht="15" hidden="false" customHeight="false" outlineLevel="0" collapsed="false">
      <c r="A464" s="5" t="n">
        <v>463</v>
      </c>
      <c r="B464" s="5" t="s">
        <v>584</v>
      </c>
      <c r="C464" s="5" t="s">
        <v>61</v>
      </c>
      <c r="D464" s="5" t="s">
        <v>403</v>
      </c>
      <c r="E464" s="5" t="s">
        <v>37</v>
      </c>
      <c r="F464" s="5" t="s">
        <v>385</v>
      </c>
      <c r="G464" s="5" t="s">
        <v>404</v>
      </c>
      <c r="H464" s="5" t="s">
        <v>405</v>
      </c>
      <c r="I464" s="5" t="s">
        <v>406</v>
      </c>
      <c r="J464" s="5" t="n">
        <v>2</v>
      </c>
      <c r="K464" s="5"/>
      <c r="L464" s="6"/>
      <c r="M464" s="6"/>
      <c r="N464" s="6"/>
      <c r="O464" s="6"/>
      <c r="P464" s="5" t="str">
        <f aca="false">IF(M464="","",ROUND(M464*IFERROR(INDEX(Weights!$B$2:$B$4,MATCH(G464,Weights!$A$2:$A$4,0)),0)*IFERROR(INDEX(Weights!$B$7:$B$11,MATCH(E464,Weights!$A$7:$A$11,0)),0)*IFERROR(INDEX(Weights!$B$14:$B$17,MATCH(TEXT(J464,"0"),Weights!$A$14:$A$17,0)),0)/(1+N(N464)/50),1))</f>
        <v/>
      </c>
      <c r="Q464" s="5" t="s">
        <v>42</v>
      </c>
    </row>
    <row r="465" customFormat="false" ht="15" hidden="false" customHeight="false" outlineLevel="0" collapsed="false">
      <c r="A465" s="5" t="n">
        <v>464</v>
      </c>
      <c r="B465" s="5" t="s">
        <v>585</v>
      </c>
      <c r="C465" s="5" t="s">
        <v>61</v>
      </c>
      <c r="D465" s="5" t="s">
        <v>403</v>
      </c>
      <c r="E465" s="5" t="s">
        <v>37</v>
      </c>
      <c r="F465" s="5" t="s">
        <v>385</v>
      </c>
      <c r="G465" s="5" t="s">
        <v>404</v>
      </c>
      <c r="H465" s="5" t="s">
        <v>405</v>
      </c>
      <c r="I465" s="5" t="s">
        <v>406</v>
      </c>
      <c r="J465" s="5" t="n">
        <v>2</v>
      </c>
      <c r="K465" s="5"/>
      <c r="L465" s="6"/>
      <c r="M465" s="6"/>
      <c r="N465" s="6"/>
      <c r="O465" s="6"/>
      <c r="P465" s="5" t="str">
        <f aca="false">IF(M465="","",ROUND(M465*IFERROR(INDEX(Weights!$B$2:$B$4,MATCH(G465,Weights!$A$2:$A$4,0)),0)*IFERROR(INDEX(Weights!$B$7:$B$11,MATCH(E465,Weights!$A$7:$A$11,0)),0)*IFERROR(INDEX(Weights!$B$14:$B$17,MATCH(TEXT(J465,"0"),Weights!$A$14:$A$17,0)),0)/(1+N(N465)/50),1))</f>
        <v/>
      </c>
      <c r="Q465" s="5" t="s">
        <v>42</v>
      </c>
    </row>
    <row r="466" customFormat="false" ht="15" hidden="false" customHeight="false" outlineLevel="0" collapsed="false">
      <c r="A466" s="5" t="n">
        <v>465</v>
      </c>
      <c r="B466" s="5" t="s">
        <v>586</v>
      </c>
      <c r="C466" s="5" t="s">
        <v>54</v>
      </c>
      <c r="D466" s="5" t="s">
        <v>19</v>
      </c>
      <c r="E466" s="5" t="s">
        <v>37</v>
      </c>
      <c r="F466" s="5" t="s">
        <v>385</v>
      </c>
      <c r="G466" s="5" t="s">
        <v>39</v>
      </c>
      <c r="H466" s="5" t="s">
        <v>40</v>
      </c>
      <c r="I466" s="5" t="s">
        <v>432</v>
      </c>
      <c r="J466" s="5" t="n">
        <v>2</v>
      </c>
      <c r="K466" s="5"/>
      <c r="L466" s="6"/>
      <c r="M466" s="6"/>
      <c r="N466" s="6"/>
      <c r="O466" s="6"/>
      <c r="P466" s="5" t="str">
        <f aca="false">IF(M466="","",ROUND(M466*IFERROR(INDEX(Weights!$B$2:$B$4,MATCH(G466,Weights!$A$2:$A$4,0)),0)*IFERROR(INDEX(Weights!$B$7:$B$11,MATCH(E466,Weights!$A$7:$A$11,0)),0)*IFERROR(INDEX(Weights!$B$14:$B$17,MATCH(TEXT(J466,"0"),Weights!$A$14:$A$17,0)),0)/(1+N(N466)/50),1))</f>
        <v/>
      </c>
      <c r="Q466" s="5" t="s">
        <v>42</v>
      </c>
    </row>
    <row r="467" customFormat="false" ht="15" hidden="false" customHeight="false" outlineLevel="0" collapsed="false">
      <c r="A467" s="5" t="n">
        <v>466</v>
      </c>
      <c r="B467" s="5" t="s">
        <v>587</v>
      </c>
      <c r="C467" s="5" t="s">
        <v>434</v>
      </c>
      <c r="D467" s="5" t="s">
        <v>19</v>
      </c>
      <c r="E467" s="5" t="s">
        <v>37</v>
      </c>
      <c r="F467" s="5" t="s">
        <v>385</v>
      </c>
      <c r="G467" s="5" t="s">
        <v>39</v>
      </c>
      <c r="H467" s="5" t="s">
        <v>40</v>
      </c>
      <c r="I467" s="5" t="s">
        <v>435</v>
      </c>
      <c r="J467" s="5" t="n">
        <v>2</v>
      </c>
      <c r="K467" s="5"/>
      <c r="L467" s="6"/>
      <c r="M467" s="6"/>
      <c r="N467" s="6"/>
      <c r="O467" s="6"/>
      <c r="P467" s="5" t="str">
        <f aca="false">IF(M467="","",ROUND(M467*IFERROR(INDEX(Weights!$B$2:$B$4,MATCH(G467,Weights!$A$2:$A$4,0)),0)*IFERROR(INDEX(Weights!$B$7:$B$11,MATCH(E467,Weights!$A$7:$A$11,0)),0)*IFERROR(INDEX(Weights!$B$14:$B$17,MATCH(TEXT(J467,"0"),Weights!$A$14:$A$17,0)),0)/(1+N(N467)/50),1))</f>
        <v/>
      </c>
      <c r="Q467" s="5" t="s">
        <v>42</v>
      </c>
    </row>
    <row r="468" customFormat="false" ht="15" hidden="false" customHeight="false" outlineLevel="0" collapsed="false">
      <c r="A468" s="5" t="n">
        <v>467</v>
      </c>
      <c r="B468" s="5" t="s">
        <v>588</v>
      </c>
      <c r="C468" s="5" t="s">
        <v>589</v>
      </c>
      <c r="D468" s="5" t="s">
        <v>590</v>
      </c>
      <c r="E468" s="5" t="s">
        <v>37</v>
      </c>
      <c r="F468" s="5" t="s">
        <v>385</v>
      </c>
      <c r="G468" s="5" t="s">
        <v>590</v>
      </c>
      <c r="H468" s="5" t="s">
        <v>40</v>
      </c>
      <c r="I468" s="5" t="s">
        <v>591</v>
      </c>
      <c r="J468" s="5" t="n">
        <v>1</v>
      </c>
      <c r="K468" s="5"/>
      <c r="L468" s="6"/>
      <c r="M468" s="6"/>
      <c r="N468" s="6"/>
      <c r="O468" s="6"/>
      <c r="P468" s="5" t="str">
        <f aca="false">IF(M468="","",ROUND(M468*IFERROR(INDEX(Weights!$B$2:$B$4,MATCH(G468,Weights!$A$2:$A$4,0)),0)*IFERROR(INDEX(Weights!$B$7:$B$11,MATCH(E468,Weights!$A$7:$A$11,0)),0)*IFERROR(INDEX(Weights!$B$14:$B$17,MATCH(TEXT(J468,"0"),Weights!$A$14:$A$17,0)),0)/(1+N(N468)/50),1))</f>
        <v/>
      </c>
      <c r="Q468" s="5" t="s">
        <v>42</v>
      </c>
    </row>
    <row r="469" customFormat="false" ht="15" hidden="false" customHeight="false" outlineLevel="0" collapsed="false">
      <c r="A469" s="5" t="n">
        <v>468</v>
      </c>
      <c r="B469" s="5" t="s">
        <v>592</v>
      </c>
      <c r="C469" s="5" t="s">
        <v>589</v>
      </c>
      <c r="D469" s="5" t="s">
        <v>590</v>
      </c>
      <c r="E469" s="5" t="s">
        <v>37</v>
      </c>
      <c r="F469" s="5" t="s">
        <v>385</v>
      </c>
      <c r="G469" s="5" t="s">
        <v>590</v>
      </c>
      <c r="H469" s="5" t="s">
        <v>40</v>
      </c>
      <c r="I469" s="5" t="s">
        <v>593</v>
      </c>
      <c r="J469" s="5" t="n">
        <v>1</v>
      </c>
      <c r="K469" s="5"/>
      <c r="L469" s="6"/>
      <c r="M469" s="6"/>
      <c r="N469" s="6"/>
      <c r="O469" s="6"/>
      <c r="P469" s="5" t="str">
        <f aca="false">IF(M469="","",ROUND(M469*IFERROR(INDEX(Weights!$B$2:$B$4,MATCH(G469,Weights!$A$2:$A$4,0)),0)*IFERROR(INDEX(Weights!$B$7:$B$11,MATCH(E469,Weights!$A$7:$A$11,0)),0)*IFERROR(INDEX(Weights!$B$14:$B$17,MATCH(TEXT(J469,"0"),Weights!$A$14:$A$17,0)),0)/(1+N(N469)/50),1))</f>
        <v/>
      </c>
      <c r="Q469" s="5" t="s">
        <v>42</v>
      </c>
    </row>
    <row r="470" customFormat="false" ht="15" hidden="false" customHeight="false" outlineLevel="0" collapsed="false">
      <c r="A470" s="5" t="n">
        <v>469</v>
      </c>
      <c r="B470" s="5" t="s">
        <v>594</v>
      </c>
      <c r="C470" s="5" t="s">
        <v>589</v>
      </c>
      <c r="D470" s="5" t="s">
        <v>590</v>
      </c>
      <c r="E470" s="5" t="s">
        <v>37</v>
      </c>
      <c r="F470" s="5" t="s">
        <v>385</v>
      </c>
      <c r="G470" s="5" t="s">
        <v>590</v>
      </c>
      <c r="H470" s="5" t="s">
        <v>40</v>
      </c>
      <c r="I470" s="5" t="s">
        <v>595</v>
      </c>
      <c r="J470" s="5" t="n">
        <v>1</v>
      </c>
      <c r="K470" s="5"/>
      <c r="L470" s="6"/>
      <c r="M470" s="6"/>
      <c r="N470" s="6"/>
      <c r="O470" s="6"/>
      <c r="P470" s="5" t="str">
        <f aca="false">IF(M470="","",ROUND(M470*IFERROR(INDEX(Weights!$B$2:$B$4,MATCH(G470,Weights!$A$2:$A$4,0)),0)*IFERROR(INDEX(Weights!$B$7:$B$11,MATCH(E470,Weights!$A$7:$A$11,0)),0)*IFERROR(INDEX(Weights!$B$14:$B$17,MATCH(TEXT(J470,"0"),Weights!$A$14:$A$17,0)),0)/(1+N(N470)/50),1))</f>
        <v/>
      </c>
      <c r="Q470" s="5" t="s">
        <v>42</v>
      </c>
    </row>
    <row r="471" customFormat="false" ht="15" hidden="false" customHeight="false" outlineLevel="0" collapsed="false">
      <c r="A471" s="5" t="n">
        <v>470</v>
      </c>
      <c r="B471" s="5" t="s">
        <v>596</v>
      </c>
      <c r="C471" s="5" t="s">
        <v>589</v>
      </c>
      <c r="D471" s="5" t="s">
        <v>590</v>
      </c>
      <c r="E471" s="5" t="s">
        <v>37</v>
      </c>
      <c r="F471" s="5" t="s">
        <v>385</v>
      </c>
      <c r="G471" s="5" t="s">
        <v>590</v>
      </c>
      <c r="H471" s="5" t="s">
        <v>40</v>
      </c>
      <c r="I471" s="5" t="s">
        <v>597</v>
      </c>
      <c r="J471" s="5" t="n">
        <v>1</v>
      </c>
      <c r="K471" s="5"/>
      <c r="L471" s="6"/>
      <c r="M471" s="6"/>
      <c r="N471" s="6"/>
      <c r="O471" s="6"/>
      <c r="P471" s="5" t="str">
        <f aca="false">IF(M471="","",ROUND(M471*IFERROR(INDEX(Weights!$B$2:$B$4,MATCH(G471,Weights!$A$2:$A$4,0)),0)*IFERROR(INDEX(Weights!$B$7:$B$11,MATCH(E471,Weights!$A$7:$A$11,0)),0)*IFERROR(INDEX(Weights!$B$14:$B$17,MATCH(TEXT(J471,"0"),Weights!$A$14:$A$17,0)),0)/(1+N(N471)/50),1))</f>
        <v/>
      </c>
      <c r="Q471" s="5" t="s">
        <v>42</v>
      </c>
    </row>
    <row r="472" customFormat="false" ht="15" hidden="false" customHeight="false" outlineLevel="0" collapsed="false">
      <c r="A472" s="5" t="n">
        <v>471</v>
      </c>
      <c r="B472" s="5" t="s">
        <v>598</v>
      </c>
      <c r="C472" s="5" t="s">
        <v>589</v>
      </c>
      <c r="D472" s="5" t="s">
        <v>590</v>
      </c>
      <c r="E472" s="5" t="s">
        <v>37</v>
      </c>
      <c r="F472" s="5" t="s">
        <v>385</v>
      </c>
      <c r="G472" s="5" t="s">
        <v>590</v>
      </c>
      <c r="H472" s="5" t="s">
        <v>40</v>
      </c>
      <c r="I472" s="5" t="s">
        <v>597</v>
      </c>
      <c r="J472" s="5" t="n">
        <v>1</v>
      </c>
      <c r="K472" s="5"/>
      <c r="L472" s="6"/>
      <c r="M472" s="6"/>
      <c r="N472" s="6"/>
      <c r="O472" s="6"/>
      <c r="P472" s="5" t="str">
        <f aca="false">IF(M472="","",ROUND(M472*IFERROR(INDEX(Weights!$B$2:$B$4,MATCH(G472,Weights!$A$2:$A$4,0)),0)*IFERROR(INDEX(Weights!$B$7:$B$11,MATCH(E472,Weights!$A$7:$A$11,0)),0)*IFERROR(INDEX(Weights!$B$14:$B$17,MATCH(TEXT(J472,"0"),Weights!$A$14:$A$17,0)),0)/(1+N(N472)/50),1))</f>
        <v/>
      </c>
      <c r="Q472" s="5" t="s">
        <v>42</v>
      </c>
    </row>
    <row r="473" customFormat="false" ht="15" hidden="false" customHeight="false" outlineLevel="0" collapsed="false">
      <c r="A473" s="5" t="n">
        <v>472</v>
      </c>
      <c r="B473" s="5" t="s">
        <v>599</v>
      </c>
      <c r="C473" s="5" t="s">
        <v>35</v>
      </c>
      <c r="D473" s="5" t="s">
        <v>36</v>
      </c>
      <c r="E473" s="5" t="s">
        <v>37</v>
      </c>
      <c r="F473" s="5" t="s">
        <v>600</v>
      </c>
      <c r="G473" s="5" t="s">
        <v>39</v>
      </c>
      <c r="H473" s="5" t="s">
        <v>40</v>
      </c>
      <c r="I473" s="5" t="s">
        <v>386</v>
      </c>
      <c r="J473" s="5" t="n">
        <v>3</v>
      </c>
      <c r="K473" s="5" t="s">
        <v>601</v>
      </c>
      <c r="L473" s="6"/>
      <c r="M473" s="6"/>
      <c r="N473" s="6"/>
      <c r="O473" s="6"/>
      <c r="P473" s="5" t="str">
        <f aca="false">IF(M473="","",ROUND(M473*IFERROR(INDEX(Weights!$B$2:$B$4,MATCH(G473,Weights!$A$2:$A$4,0)),0)*IFERROR(INDEX(Weights!$B$7:$B$11,MATCH(E473,Weights!$A$7:$A$11,0)),0)*IFERROR(INDEX(Weights!$B$14:$B$17,MATCH(TEXT(J473,"0"),Weights!$A$14:$A$17,0)),0)/(1+N(N473)/50),1))</f>
        <v/>
      </c>
      <c r="Q473" s="5" t="s">
        <v>42</v>
      </c>
    </row>
    <row r="474" customFormat="false" ht="15" hidden="false" customHeight="false" outlineLevel="0" collapsed="false">
      <c r="A474" s="5" t="n">
        <v>473</v>
      </c>
      <c r="B474" s="5" t="s">
        <v>602</v>
      </c>
      <c r="C474" s="5" t="s">
        <v>35</v>
      </c>
      <c r="D474" s="5" t="s">
        <v>36</v>
      </c>
      <c r="E474" s="5" t="s">
        <v>37</v>
      </c>
      <c r="F474" s="5" t="s">
        <v>600</v>
      </c>
      <c r="G474" s="5" t="s">
        <v>39</v>
      </c>
      <c r="H474" s="5" t="s">
        <v>40</v>
      </c>
      <c r="I474" s="5" t="s">
        <v>386</v>
      </c>
      <c r="J474" s="5" t="n">
        <v>3</v>
      </c>
      <c r="K474" s="5" t="s">
        <v>601</v>
      </c>
      <c r="L474" s="6"/>
      <c r="M474" s="6"/>
      <c r="N474" s="6"/>
      <c r="O474" s="6"/>
      <c r="P474" s="5" t="str">
        <f aca="false">IF(M474="","",ROUND(M474*IFERROR(INDEX(Weights!$B$2:$B$4,MATCH(G474,Weights!$A$2:$A$4,0)),0)*IFERROR(INDEX(Weights!$B$7:$B$11,MATCH(E474,Weights!$A$7:$A$11,0)),0)*IFERROR(INDEX(Weights!$B$14:$B$17,MATCH(TEXT(J474,"0"),Weights!$A$14:$A$17,0)),0)/(1+N(N474)/50),1))</f>
        <v/>
      </c>
      <c r="Q474" s="5" t="s">
        <v>42</v>
      </c>
    </row>
    <row r="475" customFormat="false" ht="15" hidden="false" customHeight="false" outlineLevel="0" collapsed="false">
      <c r="A475" s="5" t="n">
        <v>474</v>
      </c>
      <c r="B475" s="5" t="s">
        <v>603</v>
      </c>
      <c r="C475" s="5" t="s">
        <v>57</v>
      </c>
      <c r="D475" s="5" t="s">
        <v>36</v>
      </c>
      <c r="E475" s="5" t="s">
        <v>37</v>
      </c>
      <c r="F475" s="5" t="s">
        <v>600</v>
      </c>
      <c r="G475" s="5" t="s">
        <v>39</v>
      </c>
      <c r="H475" s="5" t="s">
        <v>40</v>
      </c>
      <c r="I475" s="5" t="s">
        <v>58</v>
      </c>
      <c r="J475" s="5" t="n">
        <v>3</v>
      </c>
      <c r="K475" s="5" t="s">
        <v>601</v>
      </c>
      <c r="L475" s="6"/>
      <c r="M475" s="6"/>
      <c r="N475" s="6"/>
      <c r="O475" s="6"/>
      <c r="P475" s="5" t="str">
        <f aca="false">IF(M475="","",ROUND(M475*IFERROR(INDEX(Weights!$B$2:$B$4,MATCH(G475,Weights!$A$2:$A$4,0)),0)*IFERROR(INDEX(Weights!$B$7:$B$11,MATCH(E475,Weights!$A$7:$A$11,0)),0)*IFERROR(INDEX(Weights!$B$14:$B$17,MATCH(TEXT(J475,"0"),Weights!$A$14:$A$17,0)),0)/(1+N(N475)/50),1))</f>
        <v/>
      </c>
      <c r="Q475" s="5" t="s">
        <v>42</v>
      </c>
    </row>
    <row r="476" customFormat="false" ht="15" hidden="false" customHeight="false" outlineLevel="0" collapsed="false">
      <c r="A476" s="5" t="n">
        <v>475</v>
      </c>
      <c r="B476" s="5" t="s">
        <v>604</v>
      </c>
      <c r="C476" s="5" t="s">
        <v>74</v>
      </c>
      <c r="D476" s="5" t="s">
        <v>36</v>
      </c>
      <c r="E476" s="5" t="s">
        <v>37</v>
      </c>
      <c r="F476" s="5" t="s">
        <v>600</v>
      </c>
      <c r="G476" s="5" t="s">
        <v>39</v>
      </c>
      <c r="H476" s="5" t="s">
        <v>40</v>
      </c>
      <c r="I476" s="5" t="s">
        <v>75</v>
      </c>
      <c r="J476" s="5" t="n">
        <v>3</v>
      </c>
      <c r="K476" s="5" t="s">
        <v>601</v>
      </c>
      <c r="L476" s="6"/>
      <c r="M476" s="6"/>
      <c r="N476" s="6"/>
      <c r="O476" s="6"/>
      <c r="P476" s="5" t="str">
        <f aca="false">IF(M476="","",ROUND(M476*IFERROR(INDEX(Weights!$B$2:$B$4,MATCH(G476,Weights!$A$2:$A$4,0)),0)*IFERROR(INDEX(Weights!$B$7:$B$11,MATCH(E476,Weights!$A$7:$A$11,0)),0)*IFERROR(INDEX(Weights!$B$14:$B$17,MATCH(TEXT(J476,"0"),Weights!$A$14:$A$17,0)),0)/(1+N(N476)/50),1))</f>
        <v/>
      </c>
      <c r="Q476" s="5" t="s">
        <v>42</v>
      </c>
    </row>
    <row r="477" customFormat="false" ht="15" hidden="false" customHeight="false" outlineLevel="0" collapsed="false">
      <c r="A477" s="5" t="n">
        <v>476</v>
      </c>
      <c r="B477" s="5" t="s">
        <v>605</v>
      </c>
      <c r="C477" s="5" t="s">
        <v>35</v>
      </c>
      <c r="D477" s="5" t="s">
        <v>36</v>
      </c>
      <c r="E477" s="5" t="s">
        <v>37</v>
      </c>
      <c r="F477" s="5" t="s">
        <v>606</v>
      </c>
      <c r="G477" s="5" t="s">
        <v>39</v>
      </c>
      <c r="H477" s="5" t="s">
        <v>40</v>
      </c>
      <c r="I477" s="5" t="s">
        <v>386</v>
      </c>
      <c r="J477" s="5" t="n">
        <v>3</v>
      </c>
      <c r="K477" s="5" t="s">
        <v>601</v>
      </c>
      <c r="L477" s="6"/>
      <c r="M477" s="6"/>
      <c r="N477" s="6"/>
      <c r="O477" s="6"/>
      <c r="P477" s="5" t="str">
        <f aca="false">IF(M477="","",ROUND(M477*IFERROR(INDEX(Weights!$B$2:$B$4,MATCH(G477,Weights!$A$2:$A$4,0)),0)*IFERROR(INDEX(Weights!$B$7:$B$11,MATCH(E477,Weights!$A$7:$A$11,0)),0)*IFERROR(INDEX(Weights!$B$14:$B$17,MATCH(TEXT(J477,"0"),Weights!$A$14:$A$17,0)),0)/(1+N(N477)/50),1))</f>
        <v/>
      </c>
      <c r="Q477" s="5" t="s">
        <v>42</v>
      </c>
    </row>
    <row r="478" customFormat="false" ht="15" hidden="false" customHeight="false" outlineLevel="0" collapsed="false">
      <c r="A478" s="5" t="n">
        <v>477</v>
      </c>
      <c r="B478" s="5" t="s">
        <v>607</v>
      </c>
      <c r="C478" s="5" t="s">
        <v>35</v>
      </c>
      <c r="D478" s="5" t="s">
        <v>36</v>
      </c>
      <c r="E478" s="5" t="s">
        <v>37</v>
      </c>
      <c r="F478" s="5" t="s">
        <v>606</v>
      </c>
      <c r="G478" s="5" t="s">
        <v>39</v>
      </c>
      <c r="H478" s="5" t="s">
        <v>40</v>
      </c>
      <c r="I478" s="5" t="s">
        <v>386</v>
      </c>
      <c r="J478" s="5" t="n">
        <v>3</v>
      </c>
      <c r="K478" s="5" t="s">
        <v>601</v>
      </c>
      <c r="L478" s="6"/>
      <c r="M478" s="6"/>
      <c r="N478" s="6"/>
      <c r="O478" s="6"/>
      <c r="P478" s="5" t="str">
        <f aca="false">IF(M478="","",ROUND(M478*IFERROR(INDEX(Weights!$B$2:$B$4,MATCH(G478,Weights!$A$2:$A$4,0)),0)*IFERROR(INDEX(Weights!$B$7:$B$11,MATCH(E478,Weights!$A$7:$A$11,0)),0)*IFERROR(INDEX(Weights!$B$14:$B$17,MATCH(TEXT(J478,"0"),Weights!$A$14:$A$17,0)),0)/(1+N(N478)/50),1))</f>
        <v/>
      </c>
      <c r="Q478" s="5" t="s">
        <v>42</v>
      </c>
    </row>
    <row r="479" customFormat="false" ht="15" hidden="false" customHeight="false" outlineLevel="0" collapsed="false">
      <c r="A479" s="5" t="n">
        <v>478</v>
      </c>
      <c r="B479" s="5" t="s">
        <v>608</v>
      </c>
      <c r="C479" s="5" t="s">
        <v>57</v>
      </c>
      <c r="D479" s="5" t="s">
        <v>36</v>
      </c>
      <c r="E479" s="5" t="s">
        <v>37</v>
      </c>
      <c r="F479" s="5" t="s">
        <v>606</v>
      </c>
      <c r="G479" s="5" t="s">
        <v>39</v>
      </c>
      <c r="H479" s="5" t="s">
        <v>40</v>
      </c>
      <c r="I479" s="5" t="s">
        <v>58</v>
      </c>
      <c r="J479" s="5" t="n">
        <v>3</v>
      </c>
      <c r="K479" s="5" t="s">
        <v>601</v>
      </c>
      <c r="L479" s="6"/>
      <c r="M479" s="6"/>
      <c r="N479" s="6"/>
      <c r="O479" s="6"/>
      <c r="P479" s="5" t="str">
        <f aca="false">IF(M479="","",ROUND(M479*IFERROR(INDEX(Weights!$B$2:$B$4,MATCH(G479,Weights!$A$2:$A$4,0)),0)*IFERROR(INDEX(Weights!$B$7:$B$11,MATCH(E479,Weights!$A$7:$A$11,0)),0)*IFERROR(INDEX(Weights!$B$14:$B$17,MATCH(TEXT(J479,"0"),Weights!$A$14:$A$17,0)),0)/(1+N(N479)/50),1))</f>
        <v/>
      </c>
      <c r="Q479" s="5" t="s">
        <v>42</v>
      </c>
    </row>
    <row r="480" customFormat="false" ht="15" hidden="false" customHeight="false" outlineLevel="0" collapsed="false">
      <c r="A480" s="5" t="n">
        <v>479</v>
      </c>
      <c r="B480" s="5" t="s">
        <v>609</v>
      </c>
      <c r="C480" s="5" t="s">
        <v>74</v>
      </c>
      <c r="D480" s="5" t="s">
        <v>36</v>
      </c>
      <c r="E480" s="5" t="s">
        <v>37</v>
      </c>
      <c r="F480" s="5" t="s">
        <v>606</v>
      </c>
      <c r="G480" s="5" t="s">
        <v>39</v>
      </c>
      <c r="H480" s="5" t="s">
        <v>40</v>
      </c>
      <c r="I480" s="5" t="s">
        <v>75</v>
      </c>
      <c r="J480" s="5" t="n">
        <v>3</v>
      </c>
      <c r="K480" s="5" t="s">
        <v>601</v>
      </c>
      <c r="L480" s="6"/>
      <c r="M480" s="6"/>
      <c r="N480" s="6"/>
      <c r="O480" s="6"/>
      <c r="P480" s="5" t="str">
        <f aca="false">IF(M480="","",ROUND(M480*IFERROR(INDEX(Weights!$B$2:$B$4,MATCH(G480,Weights!$A$2:$A$4,0)),0)*IFERROR(INDEX(Weights!$B$7:$B$11,MATCH(E480,Weights!$A$7:$A$11,0)),0)*IFERROR(INDEX(Weights!$B$14:$B$17,MATCH(TEXT(J480,"0"),Weights!$A$14:$A$17,0)),0)/(1+N(N480)/50),1))</f>
        <v/>
      </c>
      <c r="Q480" s="5" t="s">
        <v>42</v>
      </c>
    </row>
    <row r="481" customFormat="false" ht="15" hidden="false" customHeight="false" outlineLevel="0" collapsed="false">
      <c r="A481" s="5" t="n">
        <v>480</v>
      </c>
      <c r="B481" s="5" t="s">
        <v>610</v>
      </c>
      <c r="C481" s="5" t="s">
        <v>35</v>
      </c>
      <c r="D481" s="5" t="s">
        <v>36</v>
      </c>
      <c r="E481" s="5" t="s">
        <v>37</v>
      </c>
      <c r="F481" s="5" t="s">
        <v>611</v>
      </c>
      <c r="G481" s="5" t="s">
        <v>39</v>
      </c>
      <c r="H481" s="5" t="s">
        <v>40</v>
      </c>
      <c r="I481" s="5" t="s">
        <v>386</v>
      </c>
      <c r="J481" s="5" t="n">
        <v>3</v>
      </c>
      <c r="K481" s="5" t="s">
        <v>601</v>
      </c>
      <c r="L481" s="6"/>
      <c r="M481" s="6"/>
      <c r="N481" s="6"/>
      <c r="O481" s="6"/>
      <c r="P481" s="5" t="str">
        <f aca="false">IF(M481="","",ROUND(M481*IFERROR(INDEX(Weights!$B$2:$B$4,MATCH(G481,Weights!$A$2:$A$4,0)),0)*IFERROR(INDEX(Weights!$B$7:$B$11,MATCH(E481,Weights!$A$7:$A$11,0)),0)*IFERROR(INDEX(Weights!$B$14:$B$17,MATCH(TEXT(J481,"0"),Weights!$A$14:$A$17,0)),0)/(1+N(N481)/50),1))</f>
        <v/>
      </c>
      <c r="Q481" s="5" t="s">
        <v>42</v>
      </c>
    </row>
    <row r="482" customFormat="false" ht="15" hidden="false" customHeight="false" outlineLevel="0" collapsed="false">
      <c r="A482" s="5" t="n">
        <v>481</v>
      </c>
      <c r="B482" s="5" t="s">
        <v>612</v>
      </c>
      <c r="C482" s="5" t="s">
        <v>35</v>
      </c>
      <c r="D482" s="5" t="s">
        <v>36</v>
      </c>
      <c r="E482" s="5" t="s">
        <v>37</v>
      </c>
      <c r="F482" s="5" t="s">
        <v>611</v>
      </c>
      <c r="G482" s="5" t="s">
        <v>39</v>
      </c>
      <c r="H482" s="5" t="s">
        <v>40</v>
      </c>
      <c r="I482" s="5" t="s">
        <v>386</v>
      </c>
      <c r="J482" s="5" t="n">
        <v>3</v>
      </c>
      <c r="K482" s="5" t="s">
        <v>601</v>
      </c>
      <c r="L482" s="6"/>
      <c r="M482" s="6"/>
      <c r="N482" s="6"/>
      <c r="O482" s="6"/>
      <c r="P482" s="5" t="str">
        <f aca="false">IF(M482="","",ROUND(M482*IFERROR(INDEX(Weights!$B$2:$B$4,MATCH(G482,Weights!$A$2:$A$4,0)),0)*IFERROR(INDEX(Weights!$B$7:$B$11,MATCH(E482,Weights!$A$7:$A$11,0)),0)*IFERROR(INDEX(Weights!$B$14:$B$17,MATCH(TEXT(J482,"0"),Weights!$A$14:$A$17,0)),0)/(1+N(N482)/50),1))</f>
        <v/>
      </c>
      <c r="Q482" s="5" t="s">
        <v>42</v>
      </c>
    </row>
    <row r="483" customFormat="false" ht="15" hidden="false" customHeight="false" outlineLevel="0" collapsed="false">
      <c r="A483" s="5" t="n">
        <v>482</v>
      </c>
      <c r="B483" s="5" t="s">
        <v>613</v>
      </c>
      <c r="C483" s="5" t="s">
        <v>57</v>
      </c>
      <c r="D483" s="5" t="s">
        <v>36</v>
      </c>
      <c r="E483" s="5" t="s">
        <v>37</v>
      </c>
      <c r="F483" s="5" t="s">
        <v>611</v>
      </c>
      <c r="G483" s="5" t="s">
        <v>39</v>
      </c>
      <c r="H483" s="5" t="s">
        <v>40</v>
      </c>
      <c r="I483" s="5" t="s">
        <v>58</v>
      </c>
      <c r="J483" s="5" t="n">
        <v>3</v>
      </c>
      <c r="K483" s="5" t="s">
        <v>601</v>
      </c>
      <c r="L483" s="6"/>
      <c r="M483" s="6"/>
      <c r="N483" s="6"/>
      <c r="O483" s="6"/>
      <c r="P483" s="5" t="str">
        <f aca="false">IF(M483="","",ROUND(M483*IFERROR(INDEX(Weights!$B$2:$B$4,MATCH(G483,Weights!$A$2:$A$4,0)),0)*IFERROR(INDEX(Weights!$B$7:$B$11,MATCH(E483,Weights!$A$7:$A$11,0)),0)*IFERROR(INDEX(Weights!$B$14:$B$17,MATCH(TEXT(J483,"0"),Weights!$A$14:$A$17,0)),0)/(1+N(N483)/50),1))</f>
        <v/>
      </c>
      <c r="Q483" s="5" t="s">
        <v>42</v>
      </c>
    </row>
    <row r="484" customFormat="false" ht="15" hidden="false" customHeight="false" outlineLevel="0" collapsed="false">
      <c r="A484" s="5" t="n">
        <v>483</v>
      </c>
      <c r="B484" s="5" t="s">
        <v>614</v>
      </c>
      <c r="C484" s="5" t="s">
        <v>74</v>
      </c>
      <c r="D484" s="5" t="s">
        <v>36</v>
      </c>
      <c r="E484" s="5" t="s">
        <v>37</v>
      </c>
      <c r="F484" s="5" t="s">
        <v>611</v>
      </c>
      <c r="G484" s="5" t="s">
        <v>39</v>
      </c>
      <c r="H484" s="5" t="s">
        <v>40</v>
      </c>
      <c r="I484" s="5" t="s">
        <v>75</v>
      </c>
      <c r="J484" s="5" t="n">
        <v>3</v>
      </c>
      <c r="K484" s="5" t="s">
        <v>601</v>
      </c>
      <c r="L484" s="6"/>
      <c r="M484" s="6"/>
      <c r="N484" s="6"/>
      <c r="O484" s="6"/>
      <c r="P484" s="5" t="str">
        <f aca="false">IF(M484="","",ROUND(M484*IFERROR(INDEX(Weights!$B$2:$B$4,MATCH(G484,Weights!$A$2:$A$4,0)),0)*IFERROR(INDEX(Weights!$B$7:$B$11,MATCH(E484,Weights!$A$7:$A$11,0)),0)*IFERROR(INDEX(Weights!$B$14:$B$17,MATCH(TEXT(J484,"0"),Weights!$A$14:$A$17,0)),0)/(1+N(N484)/50),1))</f>
        <v/>
      </c>
      <c r="Q484" s="5" t="s">
        <v>42</v>
      </c>
    </row>
    <row r="485" customFormat="false" ht="15" hidden="false" customHeight="false" outlineLevel="0" collapsed="false">
      <c r="A485" s="5" t="n">
        <v>484</v>
      </c>
      <c r="B485" s="5" t="s">
        <v>615</v>
      </c>
      <c r="C485" s="5" t="s">
        <v>35</v>
      </c>
      <c r="D485" s="5" t="s">
        <v>36</v>
      </c>
      <c r="E485" s="5" t="s">
        <v>37</v>
      </c>
      <c r="F485" s="5" t="s">
        <v>616</v>
      </c>
      <c r="G485" s="5" t="s">
        <v>39</v>
      </c>
      <c r="H485" s="5" t="s">
        <v>40</v>
      </c>
      <c r="I485" s="5" t="s">
        <v>386</v>
      </c>
      <c r="J485" s="5" t="n">
        <v>3</v>
      </c>
      <c r="K485" s="5" t="s">
        <v>601</v>
      </c>
      <c r="L485" s="6"/>
      <c r="M485" s="6"/>
      <c r="N485" s="6"/>
      <c r="O485" s="6"/>
      <c r="P485" s="5" t="str">
        <f aca="false">IF(M485="","",ROUND(M485*IFERROR(INDEX(Weights!$B$2:$B$4,MATCH(G485,Weights!$A$2:$A$4,0)),0)*IFERROR(INDEX(Weights!$B$7:$B$11,MATCH(E485,Weights!$A$7:$A$11,0)),0)*IFERROR(INDEX(Weights!$B$14:$B$17,MATCH(TEXT(J485,"0"),Weights!$A$14:$A$17,0)),0)/(1+N(N485)/50),1))</f>
        <v/>
      </c>
      <c r="Q485" s="5" t="s">
        <v>42</v>
      </c>
    </row>
    <row r="486" customFormat="false" ht="15" hidden="false" customHeight="false" outlineLevel="0" collapsed="false">
      <c r="A486" s="5" t="n">
        <v>485</v>
      </c>
      <c r="B486" s="5" t="s">
        <v>617</v>
      </c>
      <c r="C486" s="5" t="s">
        <v>35</v>
      </c>
      <c r="D486" s="5" t="s">
        <v>36</v>
      </c>
      <c r="E486" s="5" t="s">
        <v>37</v>
      </c>
      <c r="F486" s="5" t="s">
        <v>616</v>
      </c>
      <c r="G486" s="5" t="s">
        <v>39</v>
      </c>
      <c r="H486" s="5" t="s">
        <v>40</v>
      </c>
      <c r="I486" s="5" t="s">
        <v>386</v>
      </c>
      <c r="J486" s="5" t="n">
        <v>3</v>
      </c>
      <c r="K486" s="5" t="s">
        <v>601</v>
      </c>
      <c r="L486" s="6"/>
      <c r="M486" s="6"/>
      <c r="N486" s="6"/>
      <c r="O486" s="6"/>
      <c r="P486" s="5" t="str">
        <f aca="false">IF(M486="","",ROUND(M486*IFERROR(INDEX(Weights!$B$2:$B$4,MATCH(G486,Weights!$A$2:$A$4,0)),0)*IFERROR(INDEX(Weights!$B$7:$B$11,MATCH(E486,Weights!$A$7:$A$11,0)),0)*IFERROR(INDEX(Weights!$B$14:$B$17,MATCH(TEXT(J486,"0"),Weights!$A$14:$A$17,0)),0)/(1+N(N486)/50),1))</f>
        <v/>
      </c>
      <c r="Q486" s="5" t="s">
        <v>42</v>
      </c>
    </row>
    <row r="487" customFormat="false" ht="15" hidden="false" customHeight="false" outlineLevel="0" collapsed="false">
      <c r="A487" s="5" t="n">
        <v>486</v>
      </c>
      <c r="B487" s="5" t="s">
        <v>618</v>
      </c>
      <c r="C487" s="5" t="s">
        <v>57</v>
      </c>
      <c r="D487" s="5" t="s">
        <v>36</v>
      </c>
      <c r="E487" s="5" t="s">
        <v>37</v>
      </c>
      <c r="F487" s="5" t="s">
        <v>616</v>
      </c>
      <c r="G487" s="5" t="s">
        <v>39</v>
      </c>
      <c r="H487" s="5" t="s">
        <v>40</v>
      </c>
      <c r="I487" s="5" t="s">
        <v>58</v>
      </c>
      <c r="J487" s="5" t="n">
        <v>3</v>
      </c>
      <c r="K487" s="5" t="s">
        <v>601</v>
      </c>
      <c r="L487" s="6"/>
      <c r="M487" s="6"/>
      <c r="N487" s="6"/>
      <c r="O487" s="6"/>
      <c r="P487" s="5" t="str">
        <f aca="false">IF(M487="","",ROUND(M487*IFERROR(INDEX(Weights!$B$2:$B$4,MATCH(G487,Weights!$A$2:$A$4,0)),0)*IFERROR(INDEX(Weights!$B$7:$B$11,MATCH(E487,Weights!$A$7:$A$11,0)),0)*IFERROR(INDEX(Weights!$B$14:$B$17,MATCH(TEXT(J487,"0"),Weights!$A$14:$A$17,0)),0)/(1+N(N487)/50),1))</f>
        <v/>
      </c>
      <c r="Q487" s="5" t="s">
        <v>42</v>
      </c>
    </row>
    <row r="488" customFormat="false" ht="15" hidden="false" customHeight="false" outlineLevel="0" collapsed="false">
      <c r="A488" s="5" t="n">
        <v>487</v>
      </c>
      <c r="B488" s="5" t="s">
        <v>619</v>
      </c>
      <c r="C488" s="5" t="s">
        <v>74</v>
      </c>
      <c r="D488" s="5" t="s">
        <v>36</v>
      </c>
      <c r="E488" s="5" t="s">
        <v>37</v>
      </c>
      <c r="F488" s="5" t="s">
        <v>616</v>
      </c>
      <c r="G488" s="5" t="s">
        <v>39</v>
      </c>
      <c r="H488" s="5" t="s">
        <v>40</v>
      </c>
      <c r="I488" s="5" t="s">
        <v>75</v>
      </c>
      <c r="J488" s="5" t="n">
        <v>3</v>
      </c>
      <c r="K488" s="5" t="s">
        <v>601</v>
      </c>
      <c r="L488" s="6"/>
      <c r="M488" s="6"/>
      <c r="N488" s="6"/>
      <c r="O488" s="6"/>
      <c r="P488" s="5" t="str">
        <f aca="false">IF(M488="","",ROUND(M488*IFERROR(INDEX(Weights!$B$2:$B$4,MATCH(G488,Weights!$A$2:$A$4,0)),0)*IFERROR(INDEX(Weights!$B$7:$B$11,MATCH(E488,Weights!$A$7:$A$11,0)),0)*IFERROR(INDEX(Weights!$B$14:$B$17,MATCH(TEXT(J488,"0"),Weights!$A$14:$A$17,0)),0)/(1+N(N488)/50),1))</f>
        <v/>
      </c>
      <c r="Q488" s="5" t="s">
        <v>42</v>
      </c>
    </row>
    <row r="489" customFormat="false" ht="15" hidden="false" customHeight="false" outlineLevel="0" collapsed="false">
      <c r="A489" s="5" t="n">
        <v>488</v>
      </c>
      <c r="B489" s="5" t="s">
        <v>620</v>
      </c>
      <c r="C489" s="5" t="s">
        <v>35</v>
      </c>
      <c r="D489" s="5" t="s">
        <v>36</v>
      </c>
      <c r="E489" s="5" t="s">
        <v>37</v>
      </c>
      <c r="F489" s="5" t="s">
        <v>621</v>
      </c>
      <c r="G489" s="5" t="s">
        <v>39</v>
      </c>
      <c r="H489" s="5" t="s">
        <v>40</v>
      </c>
      <c r="I489" s="5" t="s">
        <v>386</v>
      </c>
      <c r="J489" s="5" t="n">
        <v>3</v>
      </c>
      <c r="K489" s="5" t="s">
        <v>601</v>
      </c>
      <c r="L489" s="6"/>
      <c r="M489" s="6"/>
      <c r="N489" s="6"/>
      <c r="O489" s="6"/>
      <c r="P489" s="5" t="str">
        <f aca="false">IF(M489="","",ROUND(M489*IFERROR(INDEX(Weights!$B$2:$B$4,MATCH(G489,Weights!$A$2:$A$4,0)),0)*IFERROR(INDEX(Weights!$B$7:$B$11,MATCH(E489,Weights!$A$7:$A$11,0)),0)*IFERROR(INDEX(Weights!$B$14:$B$17,MATCH(TEXT(J489,"0"),Weights!$A$14:$A$17,0)),0)/(1+N(N489)/50),1))</f>
        <v/>
      </c>
      <c r="Q489" s="5" t="s">
        <v>42</v>
      </c>
    </row>
    <row r="490" customFormat="false" ht="15" hidden="false" customHeight="false" outlineLevel="0" collapsed="false">
      <c r="A490" s="5" t="n">
        <v>489</v>
      </c>
      <c r="B490" s="5" t="s">
        <v>622</v>
      </c>
      <c r="C490" s="5" t="s">
        <v>35</v>
      </c>
      <c r="D490" s="5" t="s">
        <v>36</v>
      </c>
      <c r="E490" s="5" t="s">
        <v>37</v>
      </c>
      <c r="F490" s="5" t="s">
        <v>621</v>
      </c>
      <c r="G490" s="5" t="s">
        <v>39</v>
      </c>
      <c r="H490" s="5" t="s">
        <v>40</v>
      </c>
      <c r="I490" s="5" t="s">
        <v>386</v>
      </c>
      <c r="J490" s="5" t="n">
        <v>3</v>
      </c>
      <c r="K490" s="5" t="s">
        <v>601</v>
      </c>
      <c r="L490" s="6"/>
      <c r="M490" s="6"/>
      <c r="N490" s="6"/>
      <c r="O490" s="6"/>
      <c r="P490" s="5" t="str">
        <f aca="false">IF(M490="","",ROUND(M490*IFERROR(INDEX(Weights!$B$2:$B$4,MATCH(G490,Weights!$A$2:$A$4,0)),0)*IFERROR(INDEX(Weights!$B$7:$B$11,MATCH(E490,Weights!$A$7:$A$11,0)),0)*IFERROR(INDEX(Weights!$B$14:$B$17,MATCH(TEXT(J490,"0"),Weights!$A$14:$A$17,0)),0)/(1+N(N490)/50),1))</f>
        <v/>
      </c>
      <c r="Q490" s="5" t="s">
        <v>42</v>
      </c>
    </row>
    <row r="491" customFormat="false" ht="15" hidden="false" customHeight="false" outlineLevel="0" collapsed="false">
      <c r="A491" s="5" t="n">
        <v>490</v>
      </c>
      <c r="B491" s="5" t="s">
        <v>623</v>
      </c>
      <c r="C491" s="5" t="s">
        <v>57</v>
      </c>
      <c r="D491" s="5" t="s">
        <v>36</v>
      </c>
      <c r="E491" s="5" t="s">
        <v>37</v>
      </c>
      <c r="F491" s="5" t="s">
        <v>621</v>
      </c>
      <c r="G491" s="5" t="s">
        <v>39</v>
      </c>
      <c r="H491" s="5" t="s">
        <v>40</v>
      </c>
      <c r="I491" s="5" t="s">
        <v>58</v>
      </c>
      <c r="J491" s="5" t="n">
        <v>3</v>
      </c>
      <c r="K491" s="5" t="s">
        <v>601</v>
      </c>
      <c r="L491" s="6"/>
      <c r="M491" s="6"/>
      <c r="N491" s="6"/>
      <c r="O491" s="6"/>
      <c r="P491" s="5" t="str">
        <f aca="false">IF(M491="","",ROUND(M491*IFERROR(INDEX(Weights!$B$2:$B$4,MATCH(G491,Weights!$A$2:$A$4,0)),0)*IFERROR(INDEX(Weights!$B$7:$B$11,MATCH(E491,Weights!$A$7:$A$11,0)),0)*IFERROR(INDEX(Weights!$B$14:$B$17,MATCH(TEXT(J491,"0"),Weights!$A$14:$A$17,0)),0)/(1+N(N491)/50),1))</f>
        <v/>
      </c>
      <c r="Q491" s="5" t="s">
        <v>42</v>
      </c>
    </row>
    <row r="492" customFormat="false" ht="15" hidden="false" customHeight="false" outlineLevel="0" collapsed="false">
      <c r="A492" s="5" t="n">
        <v>491</v>
      </c>
      <c r="B492" s="5" t="s">
        <v>624</v>
      </c>
      <c r="C492" s="5" t="s">
        <v>74</v>
      </c>
      <c r="D492" s="5" t="s">
        <v>36</v>
      </c>
      <c r="E492" s="5" t="s">
        <v>37</v>
      </c>
      <c r="F492" s="5" t="s">
        <v>621</v>
      </c>
      <c r="G492" s="5" t="s">
        <v>39</v>
      </c>
      <c r="H492" s="5" t="s">
        <v>40</v>
      </c>
      <c r="I492" s="5" t="s">
        <v>75</v>
      </c>
      <c r="J492" s="5" t="n">
        <v>3</v>
      </c>
      <c r="K492" s="5" t="s">
        <v>601</v>
      </c>
      <c r="L492" s="6"/>
      <c r="M492" s="6"/>
      <c r="N492" s="6"/>
      <c r="O492" s="6"/>
      <c r="P492" s="5" t="str">
        <f aca="false">IF(M492="","",ROUND(M492*IFERROR(INDEX(Weights!$B$2:$B$4,MATCH(G492,Weights!$A$2:$A$4,0)),0)*IFERROR(INDEX(Weights!$B$7:$B$11,MATCH(E492,Weights!$A$7:$A$11,0)),0)*IFERROR(INDEX(Weights!$B$14:$B$17,MATCH(TEXT(J492,"0"),Weights!$A$14:$A$17,0)),0)/(1+N(N492)/50),1))</f>
        <v/>
      </c>
      <c r="Q492" s="5" t="s">
        <v>42</v>
      </c>
    </row>
    <row r="493" customFormat="false" ht="15" hidden="false" customHeight="false" outlineLevel="0" collapsed="false">
      <c r="A493" s="5" t="n">
        <v>492</v>
      </c>
      <c r="B493" s="5" t="s">
        <v>625</v>
      </c>
      <c r="C493" s="5" t="s">
        <v>35</v>
      </c>
      <c r="D493" s="5" t="s">
        <v>36</v>
      </c>
      <c r="E493" s="5" t="s">
        <v>37</v>
      </c>
      <c r="F493" s="5" t="s">
        <v>626</v>
      </c>
      <c r="G493" s="5" t="s">
        <v>39</v>
      </c>
      <c r="H493" s="5" t="s">
        <v>40</v>
      </c>
      <c r="I493" s="5" t="s">
        <v>386</v>
      </c>
      <c r="J493" s="5" t="n">
        <v>3</v>
      </c>
      <c r="K493" s="5" t="s">
        <v>601</v>
      </c>
      <c r="L493" s="6"/>
      <c r="M493" s="6"/>
      <c r="N493" s="6"/>
      <c r="O493" s="6"/>
      <c r="P493" s="5" t="str">
        <f aca="false">IF(M493="","",ROUND(M493*IFERROR(INDEX(Weights!$B$2:$B$4,MATCH(G493,Weights!$A$2:$A$4,0)),0)*IFERROR(INDEX(Weights!$B$7:$B$11,MATCH(E493,Weights!$A$7:$A$11,0)),0)*IFERROR(INDEX(Weights!$B$14:$B$17,MATCH(TEXT(J493,"0"),Weights!$A$14:$A$17,0)),0)/(1+N(N493)/50),1))</f>
        <v/>
      </c>
      <c r="Q493" s="5" t="s">
        <v>42</v>
      </c>
    </row>
    <row r="494" customFormat="false" ht="15" hidden="false" customHeight="false" outlineLevel="0" collapsed="false">
      <c r="A494" s="5" t="n">
        <v>493</v>
      </c>
      <c r="B494" s="5" t="s">
        <v>627</v>
      </c>
      <c r="C494" s="5" t="s">
        <v>35</v>
      </c>
      <c r="D494" s="5" t="s">
        <v>36</v>
      </c>
      <c r="E494" s="5" t="s">
        <v>37</v>
      </c>
      <c r="F494" s="5" t="s">
        <v>626</v>
      </c>
      <c r="G494" s="5" t="s">
        <v>39</v>
      </c>
      <c r="H494" s="5" t="s">
        <v>40</v>
      </c>
      <c r="I494" s="5" t="s">
        <v>386</v>
      </c>
      <c r="J494" s="5" t="n">
        <v>3</v>
      </c>
      <c r="K494" s="5" t="s">
        <v>601</v>
      </c>
      <c r="L494" s="6"/>
      <c r="M494" s="6"/>
      <c r="N494" s="6"/>
      <c r="O494" s="6"/>
      <c r="P494" s="5" t="str">
        <f aca="false">IF(M494="","",ROUND(M494*IFERROR(INDEX(Weights!$B$2:$B$4,MATCH(G494,Weights!$A$2:$A$4,0)),0)*IFERROR(INDEX(Weights!$B$7:$B$11,MATCH(E494,Weights!$A$7:$A$11,0)),0)*IFERROR(INDEX(Weights!$B$14:$B$17,MATCH(TEXT(J494,"0"),Weights!$A$14:$A$17,0)),0)/(1+N(N494)/50),1))</f>
        <v/>
      </c>
      <c r="Q494" s="5" t="s">
        <v>42</v>
      </c>
    </row>
    <row r="495" customFormat="false" ht="15" hidden="false" customHeight="false" outlineLevel="0" collapsed="false">
      <c r="A495" s="5" t="n">
        <v>494</v>
      </c>
      <c r="B495" s="5" t="s">
        <v>628</v>
      </c>
      <c r="C495" s="5" t="s">
        <v>57</v>
      </c>
      <c r="D495" s="5" t="s">
        <v>36</v>
      </c>
      <c r="E495" s="5" t="s">
        <v>37</v>
      </c>
      <c r="F495" s="5" t="s">
        <v>626</v>
      </c>
      <c r="G495" s="5" t="s">
        <v>39</v>
      </c>
      <c r="H495" s="5" t="s">
        <v>40</v>
      </c>
      <c r="I495" s="5" t="s">
        <v>58</v>
      </c>
      <c r="J495" s="5" t="n">
        <v>3</v>
      </c>
      <c r="K495" s="5" t="s">
        <v>601</v>
      </c>
      <c r="L495" s="6"/>
      <c r="M495" s="6"/>
      <c r="N495" s="6"/>
      <c r="O495" s="6"/>
      <c r="P495" s="5" t="str">
        <f aca="false">IF(M495="","",ROUND(M495*IFERROR(INDEX(Weights!$B$2:$B$4,MATCH(G495,Weights!$A$2:$A$4,0)),0)*IFERROR(INDEX(Weights!$B$7:$B$11,MATCH(E495,Weights!$A$7:$A$11,0)),0)*IFERROR(INDEX(Weights!$B$14:$B$17,MATCH(TEXT(J495,"0"),Weights!$A$14:$A$17,0)),0)/(1+N(N495)/50),1))</f>
        <v/>
      </c>
      <c r="Q495" s="5" t="s">
        <v>42</v>
      </c>
    </row>
    <row r="496" customFormat="false" ht="15" hidden="false" customHeight="false" outlineLevel="0" collapsed="false">
      <c r="A496" s="5" t="n">
        <v>495</v>
      </c>
      <c r="B496" s="5" t="s">
        <v>629</v>
      </c>
      <c r="C496" s="5" t="s">
        <v>74</v>
      </c>
      <c r="D496" s="5" t="s">
        <v>36</v>
      </c>
      <c r="E496" s="5" t="s">
        <v>37</v>
      </c>
      <c r="F496" s="5" t="s">
        <v>626</v>
      </c>
      <c r="G496" s="5" t="s">
        <v>39</v>
      </c>
      <c r="H496" s="5" t="s">
        <v>40</v>
      </c>
      <c r="I496" s="5" t="s">
        <v>75</v>
      </c>
      <c r="J496" s="5" t="n">
        <v>3</v>
      </c>
      <c r="K496" s="5" t="s">
        <v>601</v>
      </c>
      <c r="L496" s="6"/>
      <c r="M496" s="6"/>
      <c r="N496" s="6"/>
      <c r="O496" s="6"/>
      <c r="P496" s="5" t="str">
        <f aca="false">IF(M496="","",ROUND(M496*IFERROR(INDEX(Weights!$B$2:$B$4,MATCH(G496,Weights!$A$2:$A$4,0)),0)*IFERROR(INDEX(Weights!$B$7:$B$11,MATCH(E496,Weights!$A$7:$A$11,0)),0)*IFERROR(INDEX(Weights!$B$14:$B$17,MATCH(TEXT(J496,"0"),Weights!$A$14:$A$17,0)),0)/(1+N(N496)/50),1))</f>
        <v/>
      </c>
      <c r="Q496" s="5" t="s">
        <v>42</v>
      </c>
    </row>
    <row r="497" customFormat="false" ht="15" hidden="false" customHeight="false" outlineLevel="0" collapsed="false">
      <c r="A497" s="5" t="n">
        <v>496</v>
      </c>
      <c r="B497" s="5" t="s">
        <v>630</v>
      </c>
      <c r="C497" s="5" t="s">
        <v>35</v>
      </c>
      <c r="D497" s="5" t="s">
        <v>36</v>
      </c>
      <c r="E497" s="5" t="s">
        <v>37</v>
      </c>
      <c r="F497" s="5" t="s">
        <v>631</v>
      </c>
      <c r="G497" s="5" t="s">
        <v>39</v>
      </c>
      <c r="H497" s="5" t="s">
        <v>40</v>
      </c>
      <c r="I497" s="5" t="s">
        <v>386</v>
      </c>
      <c r="J497" s="5" t="n">
        <v>3</v>
      </c>
      <c r="K497" s="5" t="s">
        <v>601</v>
      </c>
      <c r="L497" s="6"/>
      <c r="M497" s="6"/>
      <c r="N497" s="6"/>
      <c r="O497" s="6"/>
      <c r="P497" s="5" t="str">
        <f aca="false">IF(M497="","",ROUND(M497*IFERROR(INDEX(Weights!$B$2:$B$4,MATCH(G497,Weights!$A$2:$A$4,0)),0)*IFERROR(INDEX(Weights!$B$7:$B$11,MATCH(E497,Weights!$A$7:$A$11,0)),0)*IFERROR(INDEX(Weights!$B$14:$B$17,MATCH(TEXT(J497,"0"),Weights!$A$14:$A$17,0)),0)/(1+N(N497)/50),1))</f>
        <v/>
      </c>
      <c r="Q497" s="5" t="s">
        <v>42</v>
      </c>
    </row>
    <row r="498" customFormat="false" ht="15" hidden="false" customHeight="false" outlineLevel="0" collapsed="false">
      <c r="A498" s="5" t="n">
        <v>497</v>
      </c>
      <c r="B498" s="5" t="s">
        <v>632</v>
      </c>
      <c r="C498" s="5" t="s">
        <v>35</v>
      </c>
      <c r="D498" s="5" t="s">
        <v>36</v>
      </c>
      <c r="E498" s="5" t="s">
        <v>37</v>
      </c>
      <c r="F498" s="5" t="s">
        <v>631</v>
      </c>
      <c r="G498" s="5" t="s">
        <v>39</v>
      </c>
      <c r="H498" s="5" t="s">
        <v>40</v>
      </c>
      <c r="I498" s="5" t="s">
        <v>386</v>
      </c>
      <c r="J498" s="5" t="n">
        <v>3</v>
      </c>
      <c r="K498" s="5" t="s">
        <v>601</v>
      </c>
      <c r="L498" s="6"/>
      <c r="M498" s="6"/>
      <c r="N498" s="6"/>
      <c r="O498" s="6"/>
      <c r="P498" s="5" t="str">
        <f aca="false">IF(M498="","",ROUND(M498*IFERROR(INDEX(Weights!$B$2:$B$4,MATCH(G498,Weights!$A$2:$A$4,0)),0)*IFERROR(INDEX(Weights!$B$7:$B$11,MATCH(E498,Weights!$A$7:$A$11,0)),0)*IFERROR(INDEX(Weights!$B$14:$B$17,MATCH(TEXT(J498,"0"),Weights!$A$14:$A$17,0)),0)/(1+N(N498)/50),1))</f>
        <v/>
      </c>
      <c r="Q498" s="5" t="s">
        <v>42</v>
      </c>
    </row>
    <row r="499" customFormat="false" ht="15" hidden="false" customHeight="false" outlineLevel="0" collapsed="false">
      <c r="A499" s="5" t="n">
        <v>498</v>
      </c>
      <c r="B499" s="5" t="s">
        <v>633</v>
      </c>
      <c r="C499" s="5" t="s">
        <v>57</v>
      </c>
      <c r="D499" s="5" t="s">
        <v>36</v>
      </c>
      <c r="E499" s="5" t="s">
        <v>37</v>
      </c>
      <c r="F499" s="5" t="s">
        <v>631</v>
      </c>
      <c r="G499" s="5" t="s">
        <v>39</v>
      </c>
      <c r="H499" s="5" t="s">
        <v>40</v>
      </c>
      <c r="I499" s="5" t="s">
        <v>58</v>
      </c>
      <c r="J499" s="5" t="n">
        <v>3</v>
      </c>
      <c r="K499" s="5" t="s">
        <v>601</v>
      </c>
      <c r="L499" s="6"/>
      <c r="M499" s="6"/>
      <c r="N499" s="6"/>
      <c r="O499" s="6"/>
      <c r="P499" s="5" t="str">
        <f aca="false">IF(M499="","",ROUND(M499*IFERROR(INDEX(Weights!$B$2:$B$4,MATCH(G499,Weights!$A$2:$A$4,0)),0)*IFERROR(INDEX(Weights!$B$7:$B$11,MATCH(E499,Weights!$A$7:$A$11,0)),0)*IFERROR(INDEX(Weights!$B$14:$B$17,MATCH(TEXT(J499,"0"),Weights!$A$14:$A$17,0)),0)/(1+N(N499)/50),1))</f>
        <v/>
      </c>
      <c r="Q499" s="5" t="s">
        <v>42</v>
      </c>
    </row>
    <row r="500" customFormat="false" ht="15" hidden="false" customHeight="false" outlineLevel="0" collapsed="false">
      <c r="A500" s="5" t="n">
        <v>499</v>
      </c>
      <c r="B500" s="5" t="s">
        <v>634</v>
      </c>
      <c r="C500" s="5" t="s">
        <v>74</v>
      </c>
      <c r="D500" s="5" t="s">
        <v>36</v>
      </c>
      <c r="E500" s="5" t="s">
        <v>37</v>
      </c>
      <c r="F500" s="5" t="s">
        <v>631</v>
      </c>
      <c r="G500" s="5" t="s">
        <v>39</v>
      </c>
      <c r="H500" s="5" t="s">
        <v>40</v>
      </c>
      <c r="I500" s="5" t="s">
        <v>75</v>
      </c>
      <c r="J500" s="5" t="n">
        <v>3</v>
      </c>
      <c r="K500" s="5" t="s">
        <v>601</v>
      </c>
      <c r="L500" s="6"/>
      <c r="M500" s="6"/>
      <c r="N500" s="6"/>
      <c r="O500" s="6"/>
      <c r="P500" s="5" t="str">
        <f aca="false">IF(M500="","",ROUND(M500*IFERROR(INDEX(Weights!$B$2:$B$4,MATCH(G500,Weights!$A$2:$A$4,0)),0)*IFERROR(INDEX(Weights!$B$7:$B$11,MATCH(E500,Weights!$A$7:$A$11,0)),0)*IFERROR(INDEX(Weights!$B$14:$B$17,MATCH(TEXT(J500,"0"),Weights!$A$14:$A$17,0)),0)/(1+N(N500)/50),1))</f>
        <v/>
      </c>
      <c r="Q500" s="5" t="s">
        <v>42</v>
      </c>
    </row>
    <row r="501" customFormat="false" ht="15" hidden="false" customHeight="false" outlineLevel="0" collapsed="false">
      <c r="A501" s="5" t="n">
        <v>500</v>
      </c>
      <c r="B501" s="5" t="s">
        <v>635</v>
      </c>
      <c r="C501" s="5" t="s">
        <v>35</v>
      </c>
      <c r="D501" s="5" t="s">
        <v>36</v>
      </c>
      <c r="E501" s="5" t="s">
        <v>37</v>
      </c>
      <c r="F501" s="5" t="s">
        <v>636</v>
      </c>
      <c r="G501" s="5" t="s">
        <v>39</v>
      </c>
      <c r="H501" s="5" t="s">
        <v>40</v>
      </c>
      <c r="I501" s="5" t="s">
        <v>386</v>
      </c>
      <c r="J501" s="5" t="n">
        <v>3</v>
      </c>
      <c r="K501" s="5" t="s">
        <v>601</v>
      </c>
      <c r="L501" s="6"/>
      <c r="M501" s="6"/>
      <c r="N501" s="6"/>
      <c r="O501" s="6"/>
      <c r="P501" s="5" t="str">
        <f aca="false">IF(M501="","",ROUND(M501*IFERROR(INDEX(Weights!$B$2:$B$4,MATCH(G501,Weights!$A$2:$A$4,0)),0)*IFERROR(INDEX(Weights!$B$7:$B$11,MATCH(E501,Weights!$A$7:$A$11,0)),0)*IFERROR(INDEX(Weights!$B$14:$B$17,MATCH(TEXT(J501,"0"),Weights!$A$14:$A$17,0)),0)/(1+N(N501)/50),1))</f>
        <v/>
      </c>
      <c r="Q501" s="5" t="s">
        <v>42</v>
      </c>
    </row>
    <row r="502" customFormat="false" ht="15" hidden="false" customHeight="false" outlineLevel="0" collapsed="false">
      <c r="A502" s="5" t="n">
        <v>501</v>
      </c>
      <c r="B502" s="5" t="s">
        <v>637</v>
      </c>
      <c r="C502" s="5" t="s">
        <v>35</v>
      </c>
      <c r="D502" s="5" t="s">
        <v>36</v>
      </c>
      <c r="E502" s="5" t="s">
        <v>37</v>
      </c>
      <c r="F502" s="5" t="s">
        <v>636</v>
      </c>
      <c r="G502" s="5" t="s">
        <v>39</v>
      </c>
      <c r="H502" s="5" t="s">
        <v>40</v>
      </c>
      <c r="I502" s="5" t="s">
        <v>386</v>
      </c>
      <c r="J502" s="5" t="n">
        <v>3</v>
      </c>
      <c r="K502" s="5" t="s">
        <v>601</v>
      </c>
      <c r="L502" s="6"/>
      <c r="M502" s="6"/>
      <c r="N502" s="6"/>
      <c r="O502" s="6"/>
      <c r="P502" s="5" t="str">
        <f aca="false">IF(M502="","",ROUND(M502*IFERROR(INDEX(Weights!$B$2:$B$4,MATCH(G502,Weights!$A$2:$A$4,0)),0)*IFERROR(INDEX(Weights!$B$7:$B$11,MATCH(E502,Weights!$A$7:$A$11,0)),0)*IFERROR(INDEX(Weights!$B$14:$B$17,MATCH(TEXT(J502,"0"),Weights!$A$14:$A$17,0)),0)/(1+N(N502)/50),1))</f>
        <v/>
      </c>
      <c r="Q502" s="5" t="s">
        <v>42</v>
      </c>
    </row>
    <row r="503" customFormat="false" ht="15" hidden="false" customHeight="false" outlineLevel="0" collapsed="false">
      <c r="A503" s="5" t="n">
        <v>502</v>
      </c>
      <c r="B503" s="5" t="s">
        <v>638</v>
      </c>
      <c r="C503" s="5" t="s">
        <v>57</v>
      </c>
      <c r="D503" s="5" t="s">
        <v>36</v>
      </c>
      <c r="E503" s="5" t="s">
        <v>37</v>
      </c>
      <c r="F503" s="5" t="s">
        <v>636</v>
      </c>
      <c r="G503" s="5" t="s">
        <v>39</v>
      </c>
      <c r="H503" s="5" t="s">
        <v>40</v>
      </c>
      <c r="I503" s="5" t="s">
        <v>58</v>
      </c>
      <c r="J503" s="5" t="n">
        <v>3</v>
      </c>
      <c r="K503" s="5" t="s">
        <v>601</v>
      </c>
      <c r="L503" s="6"/>
      <c r="M503" s="6"/>
      <c r="N503" s="6"/>
      <c r="O503" s="6"/>
      <c r="P503" s="5" t="str">
        <f aca="false">IF(M503="","",ROUND(M503*IFERROR(INDEX(Weights!$B$2:$B$4,MATCH(G503,Weights!$A$2:$A$4,0)),0)*IFERROR(INDEX(Weights!$B$7:$B$11,MATCH(E503,Weights!$A$7:$A$11,0)),0)*IFERROR(INDEX(Weights!$B$14:$B$17,MATCH(TEXT(J503,"0"),Weights!$A$14:$A$17,0)),0)/(1+N(N503)/50),1))</f>
        <v/>
      </c>
      <c r="Q503" s="5" t="s">
        <v>42</v>
      </c>
    </row>
    <row r="504" customFormat="false" ht="15" hidden="false" customHeight="false" outlineLevel="0" collapsed="false">
      <c r="A504" s="5" t="n">
        <v>503</v>
      </c>
      <c r="B504" s="5" t="s">
        <v>639</v>
      </c>
      <c r="C504" s="5" t="s">
        <v>74</v>
      </c>
      <c r="D504" s="5" t="s">
        <v>36</v>
      </c>
      <c r="E504" s="5" t="s">
        <v>37</v>
      </c>
      <c r="F504" s="5" t="s">
        <v>636</v>
      </c>
      <c r="G504" s="5" t="s">
        <v>39</v>
      </c>
      <c r="H504" s="5" t="s">
        <v>40</v>
      </c>
      <c r="I504" s="5" t="s">
        <v>75</v>
      </c>
      <c r="J504" s="5" t="n">
        <v>3</v>
      </c>
      <c r="K504" s="5" t="s">
        <v>601</v>
      </c>
      <c r="L504" s="6"/>
      <c r="M504" s="6"/>
      <c r="N504" s="6"/>
      <c r="O504" s="6"/>
      <c r="P504" s="5" t="str">
        <f aca="false">IF(M504="","",ROUND(M504*IFERROR(INDEX(Weights!$B$2:$B$4,MATCH(G504,Weights!$A$2:$A$4,0)),0)*IFERROR(INDEX(Weights!$B$7:$B$11,MATCH(E504,Weights!$A$7:$A$11,0)),0)*IFERROR(INDEX(Weights!$B$14:$B$17,MATCH(TEXT(J504,"0"),Weights!$A$14:$A$17,0)),0)/(1+N(N504)/50),1))</f>
        <v/>
      </c>
      <c r="Q504" s="5" t="s">
        <v>42</v>
      </c>
    </row>
    <row r="505" customFormat="false" ht="15" hidden="false" customHeight="false" outlineLevel="0" collapsed="false">
      <c r="A505" s="5" t="n">
        <v>504</v>
      </c>
      <c r="B505" s="5" t="s">
        <v>640</v>
      </c>
      <c r="C505" s="5" t="s">
        <v>35</v>
      </c>
      <c r="D505" s="5" t="s">
        <v>36</v>
      </c>
      <c r="E505" s="5" t="s">
        <v>37</v>
      </c>
      <c r="F505" s="5" t="s">
        <v>641</v>
      </c>
      <c r="G505" s="5" t="s">
        <v>39</v>
      </c>
      <c r="H505" s="5" t="s">
        <v>40</v>
      </c>
      <c r="I505" s="5" t="s">
        <v>386</v>
      </c>
      <c r="J505" s="5" t="n">
        <v>3</v>
      </c>
      <c r="K505" s="5" t="s">
        <v>601</v>
      </c>
      <c r="L505" s="6"/>
      <c r="M505" s="6"/>
      <c r="N505" s="6"/>
      <c r="O505" s="6"/>
      <c r="P505" s="5" t="str">
        <f aca="false">IF(M505="","",ROUND(M505*IFERROR(INDEX(Weights!$B$2:$B$4,MATCH(G505,Weights!$A$2:$A$4,0)),0)*IFERROR(INDEX(Weights!$B$7:$B$11,MATCH(E505,Weights!$A$7:$A$11,0)),0)*IFERROR(INDEX(Weights!$B$14:$B$17,MATCH(TEXT(J505,"0"),Weights!$A$14:$A$17,0)),0)/(1+N(N505)/50),1))</f>
        <v/>
      </c>
      <c r="Q505" s="5" t="s">
        <v>42</v>
      </c>
    </row>
    <row r="506" customFormat="false" ht="15" hidden="false" customHeight="false" outlineLevel="0" collapsed="false">
      <c r="A506" s="5" t="n">
        <v>505</v>
      </c>
      <c r="B506" s="5" t="s">
        <v>642</v>
      </c>
      <c r="C506" s="5" t="s">
        <v>35</v>
      </c>
      <c r="D506" s="5" t="s">
        <v>36</v>
      </c>
      <c r="E506" s="5" t="s">
        <v>37</v>
      </c>
      <c r="F506" s="5" t="s">
        <v>641</v>
      </c>
      <c r="G506" s="5" t="s">
        <v>39</v>
      </c>
      <c r="H506" s="5" t="s">
        <v>40</v>
      </c>
      <c r="I506" s="5" t="s">
        <v>386</v>
      </c>
      <c r="J506" s="5" t="n">
        <v>3</v>
      </c>
      <c r="K506" s="5" t="s">
        <v>601</v>
      </c>
      <c r="L506" s="6"/>
      <c r="M506" s="6"/>
      <c r="N506" s="6"/>
      <c r="O506" s="6"/>
      <c r="P506" s="5" t="str">
        <f aca="false">IF(M506="","",ROUND(M506*IFERROR(INDEX(Weights!$B$2:$B$4,MATCH(G506,Weights!$A$2:$A$4,0)),0)*IFERROR(INDEX(Weights!$B$7:$B$11,MATCH(E506,Weights!$A$7:$A$11,0)),0)*IFERROR(INDEX(Weights!$B$14:$B$17,MATCH(TEXT(J506,"0"),Weights!$A$14:$A$17,0)),0)/(1+N(N506)/50),1))</f>
        <v/>
      </c>
      <c r="Q506" s="5" t="s">
        <v>42</v>
      </c>
    </row>
    <row r="507" customFormat="false" ht="15" hidden="false" customHeight="false" outlineLevel="0" collapsed="false">
      <c r="A507" s="5" t="n">
        <v>506</v>
      </c>
      <c r="B507" s="5" t="s">
        <v>643</v>
      </c>
      <c r="C507" s="5" t="s">
        <v>57</v>
      </c>
      <c r="D507" s="5" t="s">
        <v>36</v>
      </c>
      <c r="E507" s="5" t="s">
        <v>37</v>
      </c>
      <c r="F507" s="5" t="s">
        <v>641</v>
      </c>
      <c r="G507" s="5" t="s">
        <v>39</v>
      </c>
      <c r="H507" s="5" t="s">
        <v>40</v>
      </c>
      <c r="I507" s="5" t="s">
        <v>58</v>
      </c>
      <c r="J507" s="5" t="n">
        <v>3</v>
      </c>
      <c r="K507" s="5" t="s">
        <v>601</v>
      </c>
      <c r="L507" s="6"/>
      <c r="M507" s="6"/>
      <c r="N507" s="6"/>
      <c r="O507" s="6"/>
      <c r="P507" s="5" t="str">
        <f aca="false">IF(M507="","",ROUND(M507*IFERROR(INDEX(Weights!$B$2:$B$4,MATCH(G507,Weights!$A$2:$A$4,0)),0)*IFERROR(INDEX(Weights!$B$7:$B$11,MATCH(E507,Weights!$A$7:$A$11,0)),0)*IFERROR(INDEX(Weights!$B$14:$B$17,MATCH(TEXT(J507,"0"),Weights!$A$14:$A$17,0)),0)/(1+N(N507)/50),1))</f>
        <v/>
      </c>
      <c r="Q507" s="5" t="s">
        <v>42</v>
      </c>
    </row>
    <row r="508" customFormat="false" ht="15" hidden="false" customHeight="false" outlineLevel="0" collapsed="false">
      <c r="A508" s="5" t="n">
        <v>507</v>
      </c>
      <c r="B508" s="5" t="s">
        <v>644</v>
      </c>
      <c r="C508" s="5" t="s">
        <v>74</v>
      </c>
      <c r="D508" s="5" t="s">
        <v>36</v>
      </c>
      <c r="E508" s="5" t="s">
        <v>37</v>
      </c>
      <c r="F508" s="5" t="s">
        <v>641</v>
      </c>
      <c r="G508" s="5" t="s">
        <v>39</v>
      </c>
      <c r="H508" s="5" t="s">
        <v>40</v>
      </c>
      <c r="I508" s="5" t="s">
        <v>75</v>
      </c>
      <c r="J508" s="5" t="n">
        <v>3</v>
      </c>
      <c r="K508" s="5" t="s">
        <v>601</v>
      </c>
      <c r="L508" s="6"/>
      <c r="M508" s="6"/>
      <c r="N508" s="6"/>
      <c r="O508" s="6"/>
      <c r="P508" s="5" t="str">
        <f aca="false">IF(M508="","",ROUND(M508*IFERROR(INDEX(Weights!$B$2:$B$4,MATCH(G508,Weights!$A$2:$A$4,0)),0)*IFERROR(INDEX(Weights!$B$7:$B$11,MATCH(E508,Weights!$A$7:$A$11,0)),0)*IFERROR(INDEX(Weights!$B$14:$B$17,MATCH(TEXT(J508,"0"),Weights!$A$14:$A$17,0)),0)/(1+N(N508)/50),1))</f>
        <v/>
      </c>
      <c r="Q508" s="5" t="s">
        <v>42</v>
      </c>
    </row>
    <row r="509" customFormat="false" ht="15" hidden="false" customHeight="false" outlineLevel="0" collapsed="false">
      <c r="A509" s="5" t="n">
        <v>508</v>
      </c>
      <c r="B509" s="5" t="s">
        <v>645</v>
      </c>
      <c r="C509" s="5" t="s">
        <v>35</v>
      </c>
      <c r="D509" s="5" t="s">
        <v>36</v>
      </c>
      <c r="E509" s="5" t="s">
        <v>37</v>
      </c>
      <c r="F509" s="5" t="s">
        <v>646</v>
      </c>
      <c r="G509" s="5" t="s">
        <v>39</v>
      </c>
      <c r="H509" s="5" t="s">
        <v>40</v>
      </c>
      <c r="I509" s="5" t="s">
        <v>386</v>
      </c>
      <c r="J509" s="5" t="n">
        <v>3</v>
      </c>
      <c r="K509" s="5" t="s">
        <v>601</v>
      </c>
      <c r="L509" s="6"/>
      <c r="M509" s="6"/>
      <c r="N509" s="6"/>
      <c r="O509" s="6"/>
      <c r="P509" s="5" t="str">
        <f aca="false">IF(M509="","",ROUND(M509*IFERROR(INDEX(Weights!$B$2:$B$4,MATCH(G509,Weights!$A$2:$A$4,0)),0)*IFERROR(INDEX(Weights!$B$7:$B$11,MATCH(E509,Weights!$A$7:$A$11,0)),0)*IFERROR(INDEX(Weights!$B$14:$B$17,MATCH(TEXT(J509,"0"),Weights!$A$14:$A$17,0)),0)/(1+N(N509)/50),1))</f>
        <v/>
      </c>
      <c r="Q509" s="5" t="s">
        <v>42</v>
      </c>
    </row>
    <row r="510" customFormat="false" ht="15" hidden="false" customHeight="false" outlineLevel="0" collapsed="false">
      <c r="A510" s="5" t="n">
        <v>509</v>
      </c>
      <c r="B510" s="5" t="s">
        <v>647</v>
      </c>
      <c r="C510" s="5" t="s">
        <v>35</v>
      </c>
      <c r="D510" s="5" t="s">
        <v>36</v>
      </c>
      <c r="E510" s="5" t="s">
        <v>37</v>
      </c>
      <c r="F510" s="5" t="s">
        <v>646</v>
      </c>
      <c r="G510" s="5" t="s">
        <v>39</v>
      </c>
      <c r="H510" s="5" t="s">
        <v>40</v>
      </c>
      <c r="I510" s="5" t="s">
        <v>386</v>
      </c>
      <c r="J510" s="5" t="n">
        <v>3</v>
      </c>
      <c r="K510" s="5" t="s">
        <v>601</v>
      </c>
      <c r="L510" s="6"/>
      <c r="M510" s="6"/>
      <c r="N510" s="6"/>
      <c r="O510" s="6"/>
      <c r="P510" s="5" t="str">
        <f aca="false">IF(M510="","",ROUND(M510*IFERROR(INDEX(Weights!$B$2:$B$4,MATCH(G510,Weights!$A$2:$A$4,0)),0)*IFERROR(INDEX(Weights!$B$7:$B$11,MATCH(E510,Weights!$A$7:$A$11,0)),0)*IFERROR(INDEX(Weights!$B$14:$B$17,MATCH(TEXT(J510,"0"),Weights!$A$14:$A$17,0)),0)/(1+N(N510)/50),1))</f>
        <v/>
      </c>
      <c r="Q510" s="5" t="s">
        <v>42</v>
      </c>
    </row>
    <row r="511" customFormat="false" ht="15" hidden="false" customHeight="false" outlineLevel="0" collapsed="false">
      <c r="A511" s="5" t="n">
        <v>510</v>
      </c>
      <c r="B511" s="5" t="s">
        <v>648</v>
      </c>
      <c r="C511" s="5" t="s">
        <v>57</v>
      </c>
      <c r="D511" s="5" t="s">
        <v>36</v>
      </c>
      <c r="E511" s="5" t="s">
        <v>37</v>
      </c>
      <c r="F511" s="5" t="s">
        <v>646</v>
      </c>
      <c r="G511" s="5" t="s">
        <v>39</v>
      </c>
      <c r="H511" s="5" t="s">
        <v>40</v>
      </c>
      <c r="I511" s="5" t="s">
        <v>58</v>
      </c>
      <c r="J511" s="5" t="n">
        <v>3</v>
      </c>
      <c r="K511" s="5" t="s">
        <v>601</v>
      </c>
      <c r="L511" s="6"/>
      <c r="M511" s="6"/>
      <c r="N511" s="6"/>
      <c r="O511" s="6"/>
      <c r="P511" s="5" t="str">
        <f aca="false">IF(M511="","",ROUND(M511*IFERROR(INDEX(Weights!$B$2:$B$4,MATCH(G511,Weights!$A$2:$A$4,0)),0)*IFERROR(INDEX(Weights!$B$7:$B$11,MATCH(E511,Weights!$A$7:$A$11,0)),0)*IFERROR(INDEX(Weights!$B$14:$B$17,MATCH(TEXT(J511,"0"),Weights!$A$14:$A$17,0)),0)/(1+N(N511)/50),1))</f>
        <v/>
      </c>
      <c r="Q511" s="5" t="s">
        <v>42</v>
      </c>
    </row>
    <row r="512" customFormat="false" ht="15" hidden="false" customHeight="false" outlineLevel="0" collapsed="false">
      <c r="A512" s="5" t="n">
        <v>511</v>
      </c>
      <c r="B512" s="5" t="s">
        <v>649</v>
      </c>
      <c r="C512" s="5" t="s">
        <v>74</v>
      </c>
      <c r="D512" s="5" t="s">
        <v>36</v>
      </c>
      <c r="E512" s="5" t="s">
        <v>37</v>
      </c>
      <c r="F512" s="5" t="s">
        <v>646</v>
      </c>
      <c r="G512" s="5" t="s">
        <v>39</v>
      </c>
      <c r="H512" s="5" t="s">
        <v>40</v>
      </c>
      <c r="I512" s="5" t="s">
        <v>75</v>
      </c>
      <c r="J512" s="5" t="n">
        <v>3</v>
      </c>
      <c r="K512" s="5" t="s">
        <v>601</v>
      </c>
      <c r="L512" s="6"/>
      <c r="M512" s="6"/>
      <c r="N512" s="6"/>
      <c r="O512" s="6"/>
      <c r="P512" s="5" t="str">
        <f aca="false">IF(M512="","",ROUND(M512*IFERROR(INDEX(Weights!$B$2:$B$4,MATCH(G512,Weights!$A$2:$A$4,0)),0)*IFERROR(INDEX(Weights!$B$7:$B$11,MATCH(E512,Weights!$A$7:$A$11,0)),0)*IFERROR(INDEX(Weights!$B$14:$B$17,MATCH(TEXT(J512,"0"),Weights!$A$14:$A$17,0)),0)/(1+N(N512)/50),1))</f>
        <v/>
      </c>
      <c r="Q512" s="5" t="s">
        <v>42</v>
      </c>
    </row>
    <row r="513" customFormat="false" ht="15" hidden="false" customHeight="false" outlineLevel="0" collapsed="false">
      <c r="A513" s="5" t="n">
        <v>512</v>
      </c>
      <c r="B513" s="5" t="s">
        <v>650</v>
      </c>
      <c r="C513" s="5" t="s">
        <v>35</v>
      </c>
      <c r="D513" s="5" t="s">
        <v>36</v>
      </c>
      <c r="E513" s="5" t="s">
        <v>37</v>
      </c>
      <c r="F513" s="5" t="s">
        <v>651</v>
      </c>
      <c r="G513" s="5" t="s">
        <v>39</v>
      </c>
      <c r="H513" s="5" t="s">
        <v>40</v>
      </c>
      <c r="I513" s="5" t="s">
        <v>386</v>
      </c>
      <c r="J513" s="5" t="n">
        <v>3</v>
      </c>
      <c r="K513" s="5" t="s">
        <v>601</v>
      </c>
      <c r="L513" s="6"/>
      <c r="M513" s="6"/>
      <c r="N513" s="6"/>
      <c r="O513" s="6"/>
      <c r="P513" s="5" t="str">
        <f aca="false">IF(M513="","",ROUND(M513*IFERROR(INDEX(Weights!$B$2:$B$4,MATCH(G513,Weights!$A$2:$A$4,0)),0)*IFERROR(INDEX(Weights!$B$7:$B$11,MATCH(E513,Weights!$A$7:$A$11,0)),0)*IFERROR(INDEX(Weights!$B$14:$B$17,MATCH(TEXT(J513,"0"),Weights!$A$14:$A$17,0)),0)/(1+N(N513)/50),1))</f>
        <v/>
      </c>
      <c r="Q513" s="5" t="s">
        <v>42</v>
      </c>
    </row>
    <row r="514" customFormat="false" ht="15" hidden="false" customHeight="false" outlineLevel="0" collapsed="false">
      <c r="A514" s="5" t="n">
        <v>513</v>
      </c>
      <c r="B514" s="5" t="s">
        <v>652</v>
      </c>
      <c r="C514" s="5" t="s">
        <v>35</v>
      </c>
      <c r="D514" s="5" t="s">
        <v>36</v>
      </c>
      <c r="E514" s="5" t="s">
        <v>37</v>
      </c>
      <c r="F514" s="5" t="s">
        <v>651</v>
      </c>
      <c r="G514" s="5" t="s">
        <v>39</v>
      </c>
      <c r="H514" s="5" t="s">
        <v>40</v>
      </c>
      <c r="I514" s="5" t="s">
        <v>386</v>
      </c>
      <c r="J514" s="5" t="n">
        <v>3</v>
      </c>
      <c r="K514" s="5" t="s">
        <v>601</v>
      </c>
      <c r="L514" s="6"/>
      <c r="M514" s="6"/>
      <c r="N514" s="6"/>
      <c r="O514" s="6"/>
      <c r="P514" s="5" t="str">
        <f aca="false">IF(M514="","",ROUND(M514*IFERROR(INDEX(Weights!$B$2:$B$4,MATCH(G514,Weights!$A$2:$A$4,0)),0)*IFERROR(INDEX(Weights!$B$7:$B$11,MATCH(E514,Weights!$A$7:$A$11,0)),0)*IFERROR(INDEX(Weights!$B$14:$B$17,MATCH(TEXT(J514,"0"),Weights!$A$14:$A$17,0)),0)/(1+N(N514)/50),1))</f>
        <v/>
      </c>
      <c r="Q514" s="5" t="s">
        <v>42</v>
      </c>
    </row>
    <row r="515" customFormat="false" ht="15" hidden="false" customHeight="false" outlineLevel="0" collapsed="false">
      <c r="A515" s="5" t="n">
        <v>514</v>
      </c>
      <c r="B515" s="5" t="s">
        <v>653</v>
      </c>
      <c r="C515" s="5" t="s">
        <v>57</v>
      </c>
      <c r="D515" s="5" t="s">
        <v>36</v>
      </c>
      <c r="E515" s="5" t="s">
        <v>37</v>
      </c>
      <c r="F515" s="5" t="s">
        <v>651</v>
      </c>
      <c r="G515" s="5" t="s">
        <v>39</v>
      </c>
      <c r="H515" s="5" t="s">
        <v>40</v>
      </c>
      <c r="I515" s="5" t="s">
        <v>58</v>
      </c>
      <c r="J515" s="5" t="n">
        <v>3</v>
      </c>
      <c r="K515" s="5" t="s">
        <v>601</v>
      </c>
      <c r="L515" s="6"/>
      <c r="M515" s="6"/>
      <c r="N515" s="6"/>
      <c r="O515" s="6"/>
      <c r="P515" s="5" t="str">
        <f aca="false">IF(M515="","",ROUND(M515*IFERROR(INDEX(Weights!$B$2:$B$4,MATCH(G515,Weights!$A$2:$A$4,0)),0)*IFERROR(INDEX(Weights!$B$7:$B$11,MATCH(E515,Weights!$A$7:$A$11,0)),0)*IFERROR(INDEX(Weights!$B$14:$B$17,MATCH(TEXT(J515,"0"),Weights!$A$14:$A$17,0)),0)/(1+N(N515)/50),1))</f>
        <v/>
      </c>
      <c r="Q515" s="5" t="s">
        <v>42</v>
      </c>
    </row>
    <row r="516" customFormat="false" ht="15" hidden="false" customHeight="false" outlineLevel="0" collapsed="false">
      <c r="A516" s="5" t="n">
        <v>515</v>
      </c>
      <c r="B516" s="5" t="s">
        <v>654</v>
      </c>
      <c r="C516" s="5" t="s">
        <v>74</v>
      </c>
      <c r="D516" s="5" t="s">
        <v>36</v>
      </c>
      <c r="E516" s="5" t="s">
        <v>37</v>
      </c>
      <c r="F516" s="5" t="s">
        <v>651</v>
      </c>
      <c r="G516" s="5" t="s">
        <v>39</v>
      </c>
      <c r="H516" s="5" t="s">
        <v>40</v>
      </c>
      <c r="I516" s="5" t="s">
        <v>75</v>
      </c>
      <c r="J516" s="5" t="n">
        <v>3</v>
      </c>
      <c r="K516" s="5" t="s">
        <v>601</v>
      </c>
      <c r="L516" s="6"/>
      <c r="M516" s="6"/>
      <c r="N516" s="6"/>
      <c r="O516" s="6"/>
      <c r="P516" s="5" t="str">
        <f aca="false">IF(M516="","",ROUND(M516*IFERROR(INDEX(Weights!$B$2:$B$4,MATCH(G516,Weights!$A$2:$A$4,0)),0)*IFERROR(INDEX(Weights!$B$7:$B$11,MATCH(E516,Weights!$A$7:$A$11,0)),0)*IFERROR(INDEX(Weights!$B$14:$B$17,MATCH(TEXT(J516,"0"),Weights!$A$14:$A$17,0)),0)/(1+N(N516)/50),1))</f>
        <v/>
      </c>
      <c r="Q516" s="5" t="s">
        <v>42</v>
      </c>
    </row>
    <row r="517" customFormat="false" ht="15" hidden="false" customHeight="false" outlineLevel="0" collapsed="false">
      <c r="A517" s="5" t="n">
        <v>516</v>
      </c>
      <c r="B517" s="5" t="s">
        <v>655</v>
      </c>
      <c r="C517" s="5" t="s">
        <v>35</v>
      </c>
      <c r="D517" s="5" t="s">
        <v>36</v>
      </c>
      <c r="E517" s="5" t="s">
        <v>656</v>
      </c>
      <c r="F517" s="5" t="s">
        <v>657</v>
      </c>
      <c r="G517" s="5" t="s">
        <v>39</v>
      </c>
      <c r="H517" s="5" t="s">
        <v>40</v>
      </c>
      <c r="I517" s="5" t="s">
        <v>658</v>
      </c>
      <c r="J517" s="5" t="n">
        <v>1</v>
      </c>
      <c r="K517" s="5"/>
      <c r="L517" s="6"/>
      <c r="M517" s="6"/>
      <c r="N517" s="6"/>
      <c r="O517" s="6"/>
      <c r="P517" s="5" t="str">
        <f aca="false">IF(M517="","",ROUND(M517*IFERROR(INDEX(Weights!$B$2:$B$4,MATCH(G517,Weights!$A$2:$A$4,0)),0)*IFERROR(INDEX(Weights!$B$7:$B$11,MATCH(E517,Weights!$A$7:$A$11,0)),0)*IFERROR(INDEX(Weights!$B$14:$B$17,MATCH(TEXT(J517,"0"),Weights!$A$14:$A$17,0)),0)/(1+N(N517)/50),1))</f>
        <v/>
      </c>
      <c r="Q517" s="5" t="s">
        <v>42</v>
      </c>
    </row>
    <row r="518" customFormat="false" ht="15" hidden="false" customHeight="false" outlineLevel="0" collapsed="false">
      <c r="A518" s="5" t="n">
        <v>517</v>
      </c>
      <c r="B518" s="5" t="s">
        <v>659</v>
      </c>
      <c r="C518" s="5" t="s">
        <v>35</v>
      </c>
      <c r="D518" s="5" t="s">
        <v>36</v>
      </c>
      <c r="E518" s="5" t="s">
        <v>656</v>
      </c>
      <c r="F518" s="5" t="s">
        <v>657</v>
      </c>
      <c r="G518" s="5" t="s">
        <v>39</v>
      </c>
      <c r="H518" s="5" t="s">
        <v>40</v>
      </c>
      <c r="I518" s="5" t="s">
        <v>658</v>
      </c>
      <c r="J518" s="5" t="n">
        <v>1</v>
      </c>
      <c r="K518" s="5" t="s">
        <v>660</v>
      </c>
      <c r="L518" s="6"/>
      <c r="M518" s="6"/>
      <c r="N518" s="6"/>
      <c r="O518" s="6"/>
      <c r="P518" s="5" t="str">
        <f aca="false">IF(M518="","",ROUND(M518*IFERROR(INDEX(Weights!$B$2:$B$4,MATCH(G518,Weights!$A$2:$A$4,0)),0)*IFERROR(INDEX(Weights!$B$7:$B$11,MATCH(E518,Weights!$A$7:$A$11,0)),0)*IFERROR(INDEX(Weights!$B$14:$B$17,MATCH(TEXT(J518,"0"),Weights!$A$14:$A$17,0)),0)/(1+N(N518)/50),1))</f>
        <v/>
      </c>
      <c r="Q518" s="5" t="s">
        <v>122</v>
      </c>
    </row>
    <row r="519" customFormat="false" ht="15" hidden="false" customHeight="false" outlineLevel="0" collapsed="false">
      <c r="A519" s="5" t="n">
        <v>518</v>
      </c>
      <c r="B519" s="5" t="s">
        <v>661</v>
      </c>
      <c r="C519" s="5" t="s">
        <v>35</v>
      </c>
      <c r="D519" s="5" t="s">
        <v>36</v>
      </c>
      <c r="E519" s="5" t="s">
        <v>656</v>
      </c>
      <c r="F519" s="5" t="s">
        <v>657</v>
      </c>
      <c r="G519" s="5" t="s">
        <v>39</v>
      </c>
      <c r="H519" s="5" t="s">
        <v>40</v>
      </c>
      <c r="I519" s="5" t="s">
        <v>658</v>
      </c>
      <c r="J519" s="5" t="n">
        <v>1</v>
      </c>
      <c r="K519" s="5"/>
      <c r="L519" s="6"/>
      <c r="M519" s="6"/>
      <c r="N519" s="6"/>
      <c r="O519" s="6"/>
      <c r="P519" s="5" t="str">
        <f aca="false">IF(M519="","",ROUND(M519*IFERROR(INDEX(Weights!$B$2:$B$4,MATCH(G519,Weights!$A$2:$A$4,0)),0)*IFERROR(INDEX(Weights!$B$7:$B$11,MATCH(E519,Weights!$A$7:$A$11,0)),0)*IFERROR(INDEX(Weights!$B$14:$B$17,MATCH(TEXT(J519,"0"),Weights!$A$14:$A$17,0)),0)/(1+N(N519)/50),1))</f>
        <v/>
      </c>
      <c r="Q519" s="5" t="s">
        <v>42</v>
      </c>
    </row>
    <row r="520" customFormat="false" ht="15" hidden="false" customHeight="false" outlineLevel="0" collapsed="false">
      <c r="A520" s="5" t="n">
        <v>519</v>
      </c>
      <c r="B520" s="5" t="s">
        <v>662</v>
      </c>
      <c r="C520" s="5" t="s">
        <v>35</v>
      </c>
      <c r="D520" s="5" t="s">
        <v>36</v>
      </c>
      <c r="E520" s="5" t="s">
        <v>656</v>
      </c>
      <c r="F520" s="5" t="s">
        <v>657</v>
      </c>
      <c r="G520" s="5" t="s">
        <v>39</v>
      </c>
      <c r="H520" s="5" t="s">
        <v>40</v>
      </c>
      <c r="I520" s="5" t="s">
        <v>658</v>
      </c>
      <c r="J520" s="5" t="n">
        <v>1</v>
      </c>
      <c r="K520" s="5" t="s">
        <v>660</v>
      </c>
      <c r="L520" s="6"/>
      <c r="M520" s="6"/>
      <c r="N520" s="6"/>
      <c r="O520" s="6"/>
      <c r="P520" s="5" t="str">
        <f aca="false">IF(M520="","",ROUND(M520*IFERROR(INDEX(Weights!$B$2:$B$4,MATCH(G520,Weights!$A$2:$A$4,0)),0)*IFERROR(INDEX(Weights!$B$7:$B$11,MATCH(E520,Weights!$A$7:$A$11,0)),0)*IFERROR(INDEX(Weights!$B$14:$B$17,MATCH(TEXT(J520,"0"),Weights!$A$14:$A$17,0)),0)/(1+N(N520)/50),1))</f>
        <v/>
      </c>
      <c r="Q520" s="5" t="s">
        <v>122</v>
      </c>
    </row>
    <row r="521" customFormat="false" ht="15" hidden="false" customHeight="false" outlineLevel="0" collapsed="false">
      <c r="A521" s="5" t="n">
        <v>520</v>
      </c>
      <c r="B521" s="5" t="s">
        <v>663</v>
      </c>
      <c r="C521" s="5" t="s">
        <v>35</v>
      </c>
      <c r="D521" s="5" t="s">
        <v>36</v>
      </c>
      <c r="E521" s="5" t="s">
        <v>656</v>
      </c>
      <c r="F521" s="5" t="s">
        <v>657</v>
      </c>
      <c r="G521" s="5" t="s">
        <v>39</v>
      </c>
      <c r="H521" s="5" t="s">
        <v>40</v>
      </c>
      <c r="I521" s="5" t="s">
        <v>658</v>
      </c>
      <c r="J521" s="5" t="n">
        <v>1</v>
      </c>
      <c r="K521" s="5"/>
      <c r="L521" s="6"/>
      <c r="M521" s="6"/>
      <c r="N521" s="6"/>
      <c r="O521" s="6"/>
      <c r="P521" s="5" t="str">
        <f aca="false">IF(M521="","",ROUND(M521*IFERROR(INDEX(Weights!$B$2:$B$4,MATCH(G521,Weights!$A$2:$A$4,0)),0)*IFERROR(INDEX(Weights!$B$7:$B$11,MATCH(E521,Weights!$A$7:$A$11,0)),0)*IFERROR(INDEX(Weights!$B$14:$B$17,MATCH(TEXT(J521,"0"),Weights!$A$14:$A$17,0)),0)/(1+N(N521)/50),1))</f>
        <v/>
      </c>
      <c r="Q521" s="5" t="s">
        <v>42</v>
      </c>
    </row>
    <row r="522" customFormat="false" ht="15" hidden="false" customHeight="false" outlineLevel="0" collapsed="false">
      <c r="A522" s="5" t="n">
        <v>521</v>
      </c>
      <c r="B522" s="5" t="s">
        <v>664</v>
      </c>
      <c r="C522" s="5" t="s">
        <v>35</v>
      </c>
      <c r="D522" s="5" t="s">
        <v>36</v>
      </c>
      <c r="E522" s="5" t="s">
        <v>656</v>
      </c>
      <c r="F522" s="5" t="s">
        <v>657</v>
      </c>
      <c r="G522" s="5" t="s">
        <v>39</v>
      </c>
      <c r="H522" s="5" t="s">
        <v>40</v>
      </c>
      <c r="I522" s="5" t="s">
        <v>658</v>
      </c>
      <c r="J522" s="5" t="n">
        <v>1</v>
      </c>
      <c r="K522" s="5" t="s">
        <v>660</v>
      </c>
      <c r="L522" s="6"/>
      <c r="M522" s="6"/>
      <c r="N522" s="6"/>
      <c r="O522" s="6"/>
      <c r="P522" s="5" t="str">
        <f aca="false">IF(M522="","",ROUND(M522*IFERROR(INDEX(Weights!$B$2:$B$4,MATCH(G522,Weights!$A$2:$A$4,0)),0)*IFERROR(INDEX(Weights!$B$7:$B$11,MATCH(E522,Weights!$A$7:$A$11,0)),0)*IFERROR(INDEX(Weights!$B$14:$B$17,MATCH(TEXT(J522,"0"),Weights!$A$14:$A$17,0)),0)/(1+N(N522)/50),1))</f>
        <v/>
      </c>
      <c r="Q522" s="5" t="s">
        <v>122</v>
      </c>
    </row>
    <row r="523" customFormat="false" ht="15" hidden="false" customHeight="false" outlineLevel="0" collapsed="false">
      <c r="A523" s="5" t="n">
        <v>522</v>
      </c>
      <c r="B523" s="5" t="s">
        <v>665</v>
      </c>
      <c r="C523" s="5" t="s">
        <v>35</v>
      </c>
      <c r="D523" s="5" t="s">
        <v>36</v>
      </c>
      <c r="E523" s="5" t="s">
        <v>656</v>
      </c>
      <c r="F523" s="5" t="s">
        <v>657</v>
      </c>
      <c r="G523" s="5" t="s">
        <v>39</v>
      </c>
      <c r="H523" s="5" t="s">
        <v>40</v>
      </c>
      <c r="I523" s="5" t="s">
        <v>658</v>
      </c>
      <c r="J523" s="5" t="n">
        <v>1</v>
      </c>
      <c r="K523" s="5"/>
      <c r="L523" s="6"/>
      <c r="M523" s="6"/>
      <c r="N523" s="6"/>
      <c r="O523" s="6"/>
      <c r="P523" s="5" t="str">
        <f aca="false">IF(M523="","",ROUND(M523*IFERROR(INDEX(Weights!$B$2:$B$4,MATCH(G523,Weights!$A$2:$A$4,0)),0)*IFERROR(INDEX(Weights!$B$7:$B$11,MATCH(E523,Weights!$A$7:$A$11,0)),0)*IFERROR(INDEX(Weights!$B$14:$B$17,MATCH(TEXT(J523,"0"),Weights!$A$14:$A$17,0)),0)/(1+N(N523)/50),1))</f>
        <v/>
      </c>
      <c r="Q523" s="5" t="s">
        <v>42</v>
      </c>
    </row>
    <row r="524" customFormat="false" ht="15" hidden="false" customHeight="false" outlineLevel="0" collapsed="false">
      <c r="A524" s="5" t="n">
        <v>523</v>
      </c>
      <c r="B524" s="5" t="s">
        <v>666</v>
      </c>
      <c r="C524" s="5" t="s">
        <v>35</v>
      </c>
      <c r="D524" s="5" t="s">
        <v>36</v>
      </c>
      <c r="E524" s="5" t="s">
        <v>656</v>
      </c>
      <c r="F524" s="5" t="s">
        <v>657</v>
      </c>
      <c r="G524" s="5" t="s">
        <v>39</v>
      </c>
      <c r="H524" s="5" t="s">
        <v>40</v>
      </c>
      <c r="I524" s="5" t="s">
        <v>658</v>
      </c>
      <c r="J524" s="5" t="n">
        <v>1</v>
      </c>
      <c r="K524" s="5" t="s">
        <v>660</v>
      </c>
      <c r="L524" s="6"/>
      <c r="M524" s="6"/>
      <c r="N524" s="6"/>
      <c r="O524" s="6"/>
      <c r="P524" s="5" t="str">
        <f aca="false">IF(M524="","",ROUND(M524*IFERROR(INDEX(Weights!$B$2:$B$4,MATCH(G524,Weights!$A$2:$A$4,0)),0)*IFERROR(INDEX(Weights!$B$7:$B$11,MATCH(E524,Weights!$A$7:$A$11,0)),0)*IFERROR(INDEX(Weights!$B$14:$B$17,MATCH(TEXT(J524,"0"),Weights!$A$14:$A$17,0)),0)/(1+N(N524)/50),1))</f>
        <v/>
      </c>
      <c r="Q524" s="5" t="s">
        <v>122</v>
      </c>
    </row>
    <row r="525" customFormat="false" ht="15" hidden="false" customHeight="false" outlineLevel="0" collapsed="false">
      <c r="A525" s="5" t="n">
        <v>524</v>
      </c>
      <c r="B525" s="5" t="s">
        <v>667</v>
      </c>
      <c r="C525" s="5" t="s">
        <v>35</v>
      </c>
      <c r="D525" s="5" t="s">
        <v>36</v>
      </c>
      <c r="E525" s="5" t="s">
        <v>656</v>
      </c>
      <c r="F525" s="5" t="s">
        <v>657</v>
      </c>
      <c r="G525" s="5" t="s">
        <v>39</v>
      </c>
      <c r="H525" s="5" t="s">
        <v>40</v>
      </c>
      <c r="I525" s="5" t="s">
        <v>658</v>
      </c>
      <c r="J525" s="5" t="n">
        <v>1</v>
      </c>
      <c r="K525" s="5"/>
      <c r="L525" s="6"/>
      <c r="M525" s="6"/>
      <c r="N525" s="6"/>
      <c r="O525" s="6"/>
      <c r="P525" s="5" t="str">
        <f aca="false">IF(M525="","",ROUND(M525*IFERROR(INDEX(Weights!$B$2:$B$4,MATCH(G525,Weights!$A$2:$A$4,0)),0)*IFERROR(INDEX(Weights!$B$7:$B$11,MATCH(E525,Weights!$A$7:$A$11,0)),0)*IFERROR(INDEX(Weights!$B$14:$B$17,MATCH(TEXT(J525,"0"),Weights!$A$14:$A$17,0)),0)/(1+N(N525)/50),1))</f>
        <v/>
      </c>
      <c r="Q525" s="5" t="s">
        <v>42</v>
      </c>
    </row>
    <row r="526" customFormat="false" ht="15" hidden="false" customHeight="false" outlineLevel="0" collapsed="false">
      <c r="A526" s="5" t="n">
        <v>525</v>
      </c>
      <c r="B526" s="5" t="s">
        <v>668</v>
      </c>
      <c r="C526" s="5" t="s">
        <v>35</v>
      </c>
      <c r="D526" s="5" t="s">
        <v>36</v>
      </c>
      <c r="E526" s="5" t="s">
        <v>656</v>
      </c>
      <c r="F526" s="5" t="s">
        <v>657</v>
      </c>
      <c r="G526" s="5" t="s">
        <v>39</v>
      </c>
      <c r="H526" s="5" t="s">
        <v>40</v>
      </c>
      <c r="I526" s="5" t="s">
        <v>658</v>
      </c>
      <c r="J526" s="5" t="n">
        <v>1</v>
      </c>
      <c r="K526" s="5" t="s">
        <v>660</v>
      </c>
      <c r="L526" s="6"/>
      <c r="M526" s="6"/>
      <c r="N526" s="6"/>
      <c r="O526" s="6"/>
      <c r="P526" s="5" t="str">
        <f aca="false">IF(M526="","",ROUND(M526*IFERROR(INDEX(Weights!$B$2:$B$4,MATCH(G526,Weights!$A$2:$A$4,0)),0)*IFERROR(INDEX(Weights!$B$7:$B$11,MATCH(E526,Weights!$A$7:$A$11,0)),0)*IFERROR(INDEX(Weights!$B$14:$B$17,MATCH(TEXT(J526,"0"),Weights!$A$14:$A$17,0)),0)/(1+N(N526)/50),1))</f>
        <v/>
      </c>
      <c r="Q526" s="5" t="s">
        <v>122</v>
      </c>
    </row>
    <row r="527" customFormat="false" ht="15" hidden="false" customHeight="false" outlineLevel="0" collapsed="false">
      <c r="A527" s="5" t="n">
        <v>526</v>
      </c>
      <c r="B527" s="5" t="s">
        <v>669</v>
      </c>
      <c r="C527" s="5" t="s">
        <v>47</v>
      </c>
      <c r="D527" s="5" t="s">
        <v>36</v>
      </c>
      <c r="E527" s="5" t="s">
        <v>656</v>
      </c>
      <c r="F527" s="5" t="s">
        <v>657</v>
      </c>
      <c r="G527" s="5" t="s">
        <v>39</v>
      </c>
      <c r="H527" s="5" t="s">
        <v>40</v>
      </c>
      <c r="I527" s="5" t="s">
        <v>658</v>
      </c>
      <c r="J527" s="5" t="n">
        <v>1</v>
      </c>
      <c r="K527" s="5"/>
      <c r="L527" s="6"/>
      <c r="M527" s="6"/>
      <c r="N527" s="6"/>
      <c r="O527" s="6"/>
      <c r="P527" s="5" t="str">
        <f aca="false">IF(M527="","",ROUND(M527*IFERROR(INDEX(Weights!$B$2:$B$4,MATCH(G527,Weights!$A$2:$A$4,0)),0)*IFERROR(INDEX(Weights!$B$7:$B$11,MATCH(E527,Weights!$A$7:$A$11,0)),0)*IFERROR(INDEX(Weights!$B$14:$B$17,MATCH(TEXT(J527,"0"),Weights!$A$14:$A$17,0)),0)/(1+N(N527)/50),1))</f>
        <v/>
      </c>
      <c r="Q527" s="5" t="s">
        <v>42</v>
      </c>
    </row>
    <row r="528" customFormat="false" ht="15" hidden="false" customHeight="false" outlineLevel="0" collapsed="false">
      <c r="A528" s="5" t="n">
        <v>527</v>
      </c>
      <c r="B528" s="5" t="s">
        <v>670</v>
      </c>
      <c r="C528" s="5" t="s">
        <v>47</v>
      </c>
      <c r="D528" s="5" t="s">
        <v>36</v>
      </c>
      <c r="E528" s="5" t="s">
        <v>656</v>
      </c>
      <c r="F528" s="5" t="s">
        <v>657</v>
      </c>
      <c r="G528" s="5" t="s">
        <v>39</v>
      </c>
      <c r="H528" s="5" t="s">
        <v>40</v>
      </c>
      <c r="I528" s="5" t="s">
        <v>658</v>
      </c>
      <c r="J528" s="5" t="n">
        <v>1</v>
      </c>
      <c r="K528" s="5" t="s">
        <v>660</v>
      </c>
      <c r="L528" s="6"/>
      <c r="M528" s="6"/>
      <c r="N528" s="6"/>
      <c r="O528" s="6"/>
      <c r="P528" s="5" t="str">
        <f aca="false">IF(M528="","",ROUND(M528*IFERROR(INDEX(Weights!$B$2:$B$4,MATCH(G528,Weights!$A$2:$A$4,0)),0)*IFERROR(INDEX(Weights!$B$7:$B$11,MATCH(E528,Weights!$A$7:$A$11,0)),0)*IFERROR(INDEX(Weights!$B$14:$B$17,MATCH(TEXT(J528,"0"),Weights!$A$14:$A$17,0)),0)/(1+N(N528)/50),1))</f>
        <v/>
      </c>
      <c r="Q528" s="5" t="s">
        <v>122</v>
      </c>
    </row>
    <row r="529" customFormat="false" ht="15" hidden="false" customHeight="false" outlineLevel="0" collapsed="false">
      <c r="A529" s="5" t="n">
        <v>528</v>
      </c>
      <c r="B529" s="5" t="s">
        <v>671</v>
      </c>
      <c r="C529" s="5" t="s">
        <v>47</v>
      </c>
      <c r="D529" s="5" t="s">
        <v>36</v>
      </c>
      <c r="E529" s="5" t="s">
        <v>656</v>
      </c>
      <c r="F529" s="5" t="s">
        <v>657</v>
      </c>
      <c r="G529" s="5" t="s">
        <v>39</v>
      </c>
      <c r="H529" s="5" t="s">
        <v>40</v>
      </c>
      <c r="I529" s="5" t="s">
        <v>658</v>
      </c>
      <c r="J529" s="5" t="n">
        <v>1</v>
      </c>
      <c r="K529" s="5"/>
      <c r="L529" s="6"/>
      <c r="M529" s="6"/>
      <c r="N529" s="6"/>
      <c r="O529" s="6"/>
      <c r="P529" s="5" t="str">
        <f aca="false">IF(M529="","",ROUND(M529*IFERROR(INDEX(Weights!$B$2:$B$4,MATCH(G529,Weights!$A$2:$A$4,0)),0)*IFERROR(INDEX(Weights!$B$7:$B$11,MATCH(E529,Weights!$A$7:$A$11,0)),0)*IFERROR(INDEX(Weights!$B$14:$B$17,MATCH(TEXT(J529,"0"),Weights!$A$14:$A$17,0)),0)/(1+N(N529)/50),1))</f>
        <v/>
      </c>
      <c r="Q529" s="5" t="s">
        <v>42</v>
      </c>
    </row>
    <row r="530" customFormat="false" ht="15" hidden="false" customHeight="false" outlineLevel="0" collapsed="false">
      <c r="A530" s="5" t="n">
        <v>529</v>
      </c>
      <c r="B530" s="5" t="s">
        <v>672</v>
      </c>
      <c r="C530" s="5" t="s">
        <v>47</v>
      </c>
      <c r="D530" s="5" t="s">
        <v>36</v>
      </c>
      <c r="E530" s="5" t="s">
        <v>656</v>
      </c>
      <c r="F530" s="5" t="s">
        <v>657</v>
      </c>
      <c r="G530" s="5" t="s">
        <v>39</v>
      </c>
      <c r="H530" s="5" t="s">
        <v>40</v>
      </c>
      <c r="I530" s="5" t="s">
        <v>658</v>
      </c>
      <c r="J530" s="5" t="n">
        <v>1</v>
      </c>
      <c r="K530" s="5" t="s">
        <v>660</v>
      </c>
      <c r="L530" s="6"/>
      <c r="M530" s="6"/>
      <c r="N530" s="6"/>
      <c r="O530" s="6"/>
      <c r="P530" s="5" t="str">
        <f aca="false">IF(M530="","",ROUND(M530*IFERROR(INDEX(Weights!$B$2:$B$4,MATCH(G530,Weights!$A$2:$A$4,0)),0)*IFERROR(INDEX(Weights!$B$7:$B$11,MATCH(E530,Weights!$A$7:$A$11,0)),0)*IFERROR(INDEX(Weights!$B$14:$B$17,MATCH(TEXT(J530,"0"),Weights!$A$14:$A$17,0)),0)/(1+N(N530)/50),1))</f>
        <v/>
      </c>
      <c r="Q530" s="5" t="s">
        <v>122</v>
      </c>
    </row>
    <row r="531" customFormat="false" ht="15" hidden="false" customHeight="false" outlineLevel="0" collapsed="false">
      <c r="A531" s="5" t="n">
        <v>530</v>
      </c>
      <c r="B531" s="5" t="s">
        <v>673</v>
      </c>
      <c r="C531" s="5" t="s">
        <v>47</v>
      </c>
      <c r="D531" s="5" t="s">
        <v>36</v>
      </c>
      <c r="E531" s="5" t="s">
        <v>656</v>
      </c>
      <c r="F531" s="5" t="s">
        <v>657</v>
      </c>
      <c r="G531" s="5" t="s">
        <v>39</v>
      </c>
      <c r="H531" s="5" t="s">
        <v>40</v>
      </c>
      <c r="I531" s="5" t="s">
        <v>658</v>
      </c>
      <c r="J531" s="5" t="n">
        <v>1</v>
      </c>
      <c r="K531" s="5"/>
      <c r="L531" s="6"/>
      <c r="M531" s="6"/>
      <c r="N531" s="6"/>
      <c r="O531" s="6"/>
      <c r="P531" s="5" t="str">
        <f aca="false">IF(M531="","",ROUND(M531*IFERROR(INDEX(Weights!$B$2:$B$4,MATCH(G531,Weights!$A$2:$A$4,0)),0)*IFERROR(INDEX(Weights!$B$7:$B$11,MATCH(E531,Weights!$A$7:$A$11,0)),0)*IFERROR(INDEX(Weights!$B$14:$B$17,MATCH(TEXT(J531,"0"),Weights!$A$14:$A$17,0)),0)/(1+N(N531)/50),1))</f>
        <v/>
      </c>
      <c r="Q531" s="5" t="s">
        <v>42</v>
      </c>
    </row>
    <row r="532" customFormat="false" ht="15" hidden="false" customHeight="false" outlineLevel="0" collapsed="false">
      <c r="A532" s="5" t="n">
        <v>531</v>
      </c>
      <c r="B532" s="5" t="s">
        <v>674</v>
      </c>
      <c r="C532" s="5" t="s">
        <v>47</v>
      </c>
      <c r="D532" s="5" t="s">
        <v>36</v>
      </c>
      <c r="E532" s="5" t="s">
        <v>656</v>
      </c>
      <c r="F532" s="5" t="s">
        <v>657</v>
      </c>
      <c r="G532" s="5" t="s">
        <v>39</v>
      </c>
      <c r="H532" s="5" t="s">
        <v>40</v>
      </c>
      <c r="I532" s="5" t="s">
        <v>658</v>
      </c>
      <c r="J532" s="5" t="n">
        <v>1</v>
      </c>
      <c r="K532" s="5" t="s">
        <v>660</v>
      </c>
      <c r="L532" s="6"/>
      <c r="M532" s="6"/>
      <c r="N532" s="6"/>
      <c r="O532" s="6"/>
      <c r="P532" s="5" t="str">
        <f aca="false">IF(M532="","",ROUND(M532*IFERROR(INDEX(Weights!$B$2:$B$4,MATCH(G532,Weights!$A$2:$A$4,0)),0)*IFERROR(INDEX(Weights!$B$7:$B$11,MATCH(E532,Weights!$A$7:$A$11,0)),0)*IFERROR(INDEX(Weights!$B$14:$B$17,MATCH(TEXT(J532,"0"),Weights!$A$14:$A$17,0)),0)/(1+N(N532)/50),1))</f>
        <v/>
      </c>
      <c r="Q532" s="5" t="s">
        <v>122</v>
      </c>
    </row>
    <row r="533" customFormat="false" ht="15" hidden="false" customHeight="false" outlineLevel="0" collapsed="false">
      <c r="A533" s="5" t="n">
        <v>532</v>
      </c>
      <c r="B533" s="5" t="s">
        <v>675</v>
      </c>
      <c r="C533" s="5" t="s">
        <v>47</v>
      </c>
      <c r="D533" s="5" t="s">
        <v>36</v>
      </c>
      <c r="E533" s="5" t="s">
        <v>656</v>
      </c>
      <c r="F533" s="5" t="s">
        <v>657</v>
      </c>
      <c r="G533" s="5" t="s">
        <v>39</v>
      </c>
      <c r="H533" s="5" t="s">
        <v>40</v>
      </c>
      <c r="I533" s="5" t="s">
        <v>658</v>
      </c>
      <c r="J533" s="5" t="n">
        <v>1</v>
      </c>
      <c r="K533" s="5"/>
      <c r="L533" s="6"/>
      <c r="M533" s="6"/>
      <c r="N533" s="6"/>
      <c r="O533" s="6"/>
      <c r="P533" s="5" t="str">
        <f aca="false">IF(M533="","",ROUND(M533*IFERROR(INDEX(Weights!$B$2:$B$4,MATCH(G533,Weights!$A$2:$A$4,0)),0)*IFERROR(INDEX(Weights!$B$7:$B$11,MATCH(E533,Weights!$A$7:$A$11,0)),0)*IFERROR(INDEX(Weights!$B$14:$B$17,MATCH(TEXT(J533,"0"),Weights!$A$14:$A$17,0)),0)/(1+N(N533)/50),1))</f>
        <v/>
      </c>
      <c r="Q533" s="5" t="s">
        <v>42</v>
      </c>
    </row>
    <row r="534" customFormat="false" ht="15" hidden="false" customHeight="false" outlineLevel="0" collapsed="false">
      <c r="A534" s="5" t="n">
        <v>533</v>
      </c>
      <c r="B534" s="5" t="s">
        <v>676</v>
      </c>
      <c r="C534" s="5" t="s">
        <v>47</v>
      </c>
      <c r="D534" s="5" t="s">
        <v>36</v>
      </c>
      <c r="E534" s="5" t="s">
        <v>656</v>
      </c>
      <c r="F534" s="5" t="s">
        <v>657</v>
      </c>
      <c r="G534" s="5" t="s">
        <v>39</v>
      </c>
      <c r="H534" s="5" t="s">
        <v>40</v>
      </c>
      <c r="I534" s="5" t="s">
        <v>658</v>
      </c>
      <c r="J534" s="5" t="n">
        <v>1</v>
      </c>
      <c r="K534" s="5" t="s">
        <v>660</v>
      </c>
      <c r="L534" s="6"/>
      <c r="M534" s="6"/>
      <c r="N534" s="6"/>
      <c r="O534" s="6"/>
      <c r="P534" s="5" t="str">
        <f aca="false">IF(M534="","",ROUND(M534*IFERROR(INDEX(Weights!$B$2:$B$4,MATCH(G534,Weights!$A$2:$A$4,0)),0)*IFERROR(INDEX(Weights!$B$7:$B$11,MATCH(E534,Weights!$A$7:$A$11,0)),0)*IFERROR(INDEX(Weights!$B$14:$B$17,MATCH(TEXT(J534,"0"),Weights!$A$14:$A$17,0)),0)/(1+N(N534)/50),1))</f>
        <v/>
      </c>
      <c r="Q534" s="5" t="s">
        <v>122</v>
      </c>
    </row>
    <row r="535" customFormat="false" ht="15" hidden="false" customHeight="false" outlineLevel="0" collapsed="false">
      <c r="A535" s="5" t="n">
        <v>534</v>
      </c>
      <c r="B535" s="5" t="s">
        <v>677</v>
      </c>
      <c r="C535" s="5" t="s">
        <v>47</v>
      </c>
      <c r="D535" s="5" t="s">
        <v>36</v>
      </c>
      <c r="E535" s="5" t="s">
        <v>656</v>
      </c>
      <c r="F535" s="5" t="s">
        <v>657</v>
      </c>
      <c r="G535" s="5" t="s">
        <v>39</v>
      </c>
      <c r="H535" s="5" t="s">
        <v>40</v>
      </c>
      <c r="I535" s="5" t="s">
        <v>658</v>
      </c>
      <c r="J535" s="5" t="n">
        <v>1</v>
      </c>
      <c r="K535" s="5"/>
      <c r="L535" s="6"/>
      <c r="M535" s="6"/>
      <c r="N535" s="6"/>
      <c r="O535" s="6"/>
      <c r="P535" s="5" t="str">
        <f aca="false">IF(M535="","",ROUND(M535*IFERROR(INDEX(Weights!$B$2:$B$4,MATCH(G535,Weights!$A$2:$A$4,0)),0)*IFERROR(INDEX(Weights!$B$7:$B$11,MATCH(E535,Weights!$A$7:$A$11,0)),0)*IFERROR(INDEX(Weights!$B$14:$B$17,MATCH(TEXT(J535,"0"),Weights!$A$14:$A$17,0)),0)/(1+N(N535)/50),1))</f>
        <v/>
      </c>
      <c r="Q535" s="5" t="s">
        <v>42</v>
      </c>
    </row>
    <row r="536" customFormat="false" ht="15" hidden="false" customHeight="false" outlineLevel="0" collapsed="false">
      <c r="A536" s="5" t="n">
        <v>535</v>
      </c>
      <c r="B536" s="5" t="s">
        <v>678</v>
      </c>
      <c r="C536" s="5" t="s">
        <v>47</v>
      </c>
      <c r="D536" s="5" t="s">
        <v>36</v>
      </c>
      <c r="E536" s="5" t="s">
        <v>656</v>
      </c>
      <c r="F536" s="5" t="s">
        <v>657</v>
      </c>
      <c r="G536" s="5" t="s">
        <v>39</v>
      </c>
      <c r="H536" s="5" t="s">
        <v>40</v>
      </c>
      <c r="I536" s="5" t="s">
        <v>658</v>
      </c>
      <c r="J536" s="5" t="n">
        <v>1</v>
      </c>
      <c r="K536" s="5" t="s">
        <v>660</v>
      </c>
      <c r="L536" s="6"/>
      <c r="M536" s="6"/>
      <c r="N536" s="6"/>
      <c r="O536" s="6"/>
      <c r="P536" s="5" t="str">
        <f aca="false">IF(M536="","",ROUND(M536*IFERROR(INDEX(Weights!$B$2:$B$4,MATCH(G536,Weights!$A$2:$A$4,0)),0)*IFERROR(INDEX(Weights!$B$7:$B$11,MATCH(E536,Weights!$A$7:$A$11,0)),0)*IFERROR(INDEX(Weights!$B$14:$B$17,MATCH(TEXT(J536,"0"),Weights!$A$14:$A$17,0)),0)/(1+N(N536)/50),1))</f>
        <v/>
      </c>
      <c r="Q536" s="5" t="s">
        <v>122</v>
      </c>
    </row>
    <row r="537" customFormat="false" ht="15" hidden="false" customHeight="false" outlineLevel="0" collapsed="false">
      <c r="A537" s="5" t="n">
        <v>536</v>
      </c>
      <c r="B537" s="5" t="s">
        <v>679</v>
      </c>
      <c r="C537" s="5" t="s">
        <v>51</v>
      </c>
      <c r="D537" s="5" t="s">
        <v>36</v>
      </c>
      <c r="E537" s="5" t="s">
        <v>656</v>
      </c>
      <c r="F537" s="5" t="s">
        <v>657</v>
      </c>
      <c r="G537" s="5" t="s">
        <v>39</v>
      </c>
      <c r="H537" s="5" t="s">
        <v>40</v>
      </c>
      <c r="I537" s="5" t="s">
        <v>658</v>
      </c>
      <c r="J537" s="5" t="n">
        <v>1</v>
      </c>
      <c r="K537" s="5"/>
      <c r="L537" s="6"/>
      <c r="M537" s="6"/>
      <c r="N537" s="6"/>
      <c r="O537" s="6"/>
      <c r="P537" s="5" t="str">
        <f aca="false">IF(M537="","",ROUND(M537*IFERROR(INDEX(Weights!$B$2:$B$4,MATCH(G537,Weights!$A$2:$A$4,0)),0)*IFERROR(INDEX(Weights!$B$7:$B$11,MATCH(E537,Weights!$A$7:$A$11,0)),0)*IFERROR(INDEX(Weights!$B$14:$B$17,MATCH(TEXT(J537,"0"),Weights!$A$14:$A$17,0)),0)/(1+N(N537)/50),1))</f>
        <v/>
      </c>
      <c r="Q537" s="5" t="s">
        <v>42</v>
      </c>
    </row>
    <row r="538" customFormat="false" ht="15" hidden="false" customHeight="false" outlineLevel="0" collapsed="false">
      <c r="A538" s="5" t="n">
        <v>537</v>
      </c>
      <c r="B538" s="5" t="s">
        <v>680</v>
      </c>
      <c r="C538" s="5" t="s">
        <v>51</v>
      </c>
      <c r="D538" s="5" t="s">
        <v>36</v>
      </c>
      <c r="E538" s="5" t="s">
        <v>656</v>
      </c>
      <c r="F538" s="5" t="s">
        <v>657</v>
      </c>
      <c r="G538" s="5" t="s">
        <v>39</v>
      </c>
      <c r="H538" s="5" t="s">
        <v>40</v>
      </c>
      <c r="I538" s="5" t="s">
        <v>658</v>
      </c>
      <c r="J538" s="5" t="n">
        <v>1</v>
      </c>
      <c r="K538" s="5" t="s">
        <v>660</v>
      </c>
      <c r="L538" s="6"/>
      <c r="M538" s="6"/>
      <c r="N538" s="6"/>
      <c r="O538" s="6"/>
      <c r="P538" s="5" t="str">
        <f aca="false">IF(M538="","",ROUND(M538*IFERROR(INDEX(Weights!$B$2:$B$4,MATCH(G538,Weights!$A$2:$A$4,0)),0)*IFERROR(INDEX(Weights!$B$7:$B$11,MATCH(E538,Weights!$A$7:$A$11,0)),0)*IFERROR(INDEX(Weights!$B$14:$B$17,MATCH(TEXT(J538,"0"),Weights!$A$14:$A$17,0)),0)/(1+N(N538)/50),1))</f>
        <v/>
      </c>
      <c r="Q538" s="5" t="s">
        <v>122</v>
      </c>
    </row>
    <row r="539" customFormat="false" ht="15" hidden="false" customHeight="false" outlineLevel="0" collapsed="false">
      <c r="A539" s="5" t="n">
        <v>538</v>
      </c>
      <c r="B539" s="5" t="s">
        <v>681</v>
      </c>
      <c r="C539" s="5" t="s">
        <v>51</v>
      </c>
      <c r="D539" s="5" t="s">
        <v>36</v>
      </c>
      <c r="E539" s="5" t="s">
        <v>656</v>
      </c>
      <c r="F539" s="5" t="s">
        <v>657</v>
      </c>
      <c r="G539" s="5" t="s">
        <v>39</v>
      </c>
      <c r="H539" s="5" t="s">
        <v>40</v>
      </c>
      <c r="I539" s="5" t="s">
        <v>658</v>
      </c>
      <c r="J539" s="5" t="n">
        <v>1</v>
      </c>
      <c r="K539" s="5"/>
      <c r="L539" s="6"/>
      <c r="M539" s="6"/>
      <c r="N539" s="6"/>
      <c r="O539" s="6"/>
      <c r="P539" s="5" t="str">
        <f aca="false">IF(M539="","",ROUND(M539*IFERROR(INDEX(Weights!$B$2:$B$4,MATCH(G539,Weights!$A$2:$A$4,0)),0)*IFERROR(INDEX(Weights!$B$7:$B$11,MATCH(E539,Weights!$A$7:$A$11,0)),0)*IFERROR(INDEX(Weights!$B$14:$B$17,MATCH(TEXT(J539,"0"),Weights!$A$14:$A$17,0)),0)/(1+N(N539)/50),1))</f>
        <v/>
      </c>
      <c r="Q539" s="5" t="s">
        <v>42</v>
      </c>
    </row>
    <row r="540" customFormat="false" ht="15" hidden="false" customHeight="false" outlineLevel="0" collapsed="false">
      <c r="A540" s="5" t="n">
        <v>539</v>
      </c>
      <c r="B540" s="5" t="s">
        <v>682</v>
      </c>
      <c r="C540" s="5" t="s">
        <v>51</v>
      </c>
      <c r="D540" s="5" t="s">
        <v>36</v>
      </c>
      <c r="E540" s="5" t="s">
        <v>656</v>
      </c>
      <c r="F540" s="5" t="s">
        <v>657</v>
      </c>
      <c r="G540" s="5" t="s">
        <v>39</v>
      </c>
      <c r="H540" s="5" t="s">
        <v>40</v>
      </c>
      <c r="I540" s="5" t="s">
        <v>658</v>
      </c>
      <c r="J540" s="5" t="n">
        <v>1</v>
      </c>
      <c r="K540" s="5" t="s">
        <v>660</v>
      </c>
      <c r="L540" s="6"/>
      <c r="M540" s="6"/>
      <c r="N540" s="6"/>
      <c r="O540" s="6"/>
      <c r="P540" s="5" t="str">
        <f aca="false">IF(M540="","",ROUND(M540*IFERROR(INDEX(Weights!$B$2:$B$4,MATCH(G540,Weights!$A$2:$A$4,0)),0)*IFERROR(INDEX(Weights!$B$7:$B$11,MATCH(E540,Weights!$A$7:$A$11,0)),0)*IFERROR(INDEX(Weights!$B$14:$B$17,MATCH(TEXT(J540,"0"),Weights!$A$14:$A$17,0)),0)/(1+N(N540)/50),1))</f>
        <v/>
      </c>
      <c r="Q540" s="5" t="s">
        <v>122</v>
      </c>
    </row>
    <row r="541" customFormat="false" ht="15" hidden="false" customHeight="false" outlineLevel="0" collapsed="false">
      <c r="A541" s="5" t="n">
        <v>540</v>
      </c>
      <c r="B541" s="5" t="s">
        <v>683</v>
      </c>
      <c r="C541" s="5" t="s">
        <v>54</v>
      </c>
      <c r="D541" s="5" t="s">
        <v>36</v>
      </c>
      <c r="E541" s="5" t="s">
        <v>656</v>
      </c>
      <c r="F541" s="5" t="s">
        <v>657</v>
      </c>
      <c r="G541" s="5" t="s">
        <v>39</v>
      </c>
      <c r="H541" s="5" t="s">
        <v>40</v>
      </c>
      <c r="I541" s="5" t="s">
        <v>658</v>
      </c>
      <c r="J541" s="5" t="n">
        <v>1</v>
      </c>
      <c r="K541" s="5"/>
      <c r="L541" s="6"/>
      <c r="M541" s="6"/>
      <c r="N541" s="6"/>
      <c r="O541" s="6"/>
      <c r="P541" s="5" t="str">
        <f aca="false">IF(M541="","",ROUND(M541*IFERROR(INDEX(Weights!$B$2:$B$4,MATCH(G541,Weights!$A$2:$A$4,0)),0)*IFERROR(INDEX(Weights!$B$7:$B$11,MATCH(E541,Weights!$A$7:$A$11,0)),0)*IFERROR(INDEX(Weights!$B$14:$B$17,MATCH(TEXT(J541,"0"),Weights!$A$14:$A$17,0)),0)/(1+N(N541)/50),1))</f>
        <v/>
      </c>
      <c r="Q541" s="5" t="s">
        <v>42</v>
      </c>
    </row>
    <row r="542" customFormat="false" ht="15" hidden="false" customHeight="false" outlineLevel="0" collapsed="false">
      <c r="A542" s="5" t="n">
        <v>541</v>
      </c>
      <c r="B542" s="5" t="s">
        <v>684</v>
      </c>
      <c r="C542" s="5" t="s">
        <v>54</v>
      </c>
      <c r="D542" s="5" t="s">
        <v>36</v>
      </c>
      <c r="E542" s="5" t="s">
        <v>656</v>
      </c>
      <c r="F542" s="5" t="s">
        <v>657</v>
      </c>
      <c r="G542" s="5" t="s">
        <v>39</v>
      </c>
      <c r="H542" s="5" t="s">
        <v>40</v>
      </c>
      <c r="I542" s="5" t="s">
        <v>658</v>
      </c>
      <c r="J542" s="5" t="n">
        <v>1</v>
      </c>
      <c r="K542" s="5" t="s">
        <v>660</v>
      </c>
      <c r="L542" s="6"/>
      <c r="M542" s="6"/>
      <c r="N542" s="6"/>
      <c r="O542" s="6"/>
      <c r="P542" s="5" t="str">
        <f aca="false">IF(M542="","",ROUND(M542*IFERROR(INDEX(Weights!$B$2:$B$4,MATCH(G542,Weights!$A$2:$A$4,0)),0)*IFERROR(INDEX(Weights!$B$7:$B$11,MATCH(E542,Weights!$A$7:$A$11,0)),0)*IFERROR(INDEX(Weights!$B$14:$B$17,MATCH(TEXT(J542,"0"),Weights!$A$14:$A$17,0)),0)/(1+N(N542)/50),1))</f>
        <v/>
      </c>
      <c r="Q542" s="5" t="s">
        <v>122</v>
      </c>
    </row>
    <row r="543" customFormat="false" ht="15" hidden="false" customHeight="false" outlineLevel="0" collapsed="false">
      <c r="A543" s="5" t="n">
        <v>542</v>
      </c>
      <c r="B543" s="5" t="s">
        <v>685</v>
      </c>
      <c r="C543" s="5" t="s">
        <v>54</v>
      </c>
      <c r="D543" s="5" t="s">
        <v>36</v>
      </c>
      <c r="E543" s="5" t="s">
        <v>656</v>
      </c>
      <c r="F543" s="5" t="s">
        <v>657</v>
      </c>
      <c r="G543" s="5" t="s">
        <v>39</v>
      </c>
      <c r="H543" s="5" t="s">
        <v>40</v>
      </c>
      <c r="I543" s="5" t="s">
        <v>658</v>
      </c>
      <c r="J543" s="5" t="n">
        <v>1</v>
      </c>
      <c r="K543" s="5"/>
      <c r="L543" s="6"/>
      <c r="M543" s="6"/>
      <c r="N543" s="6"/>
      <c r="O543" s="6"/>
      <c r="P543" s="5" t="str">
        <f aca="false">IF(M543="","",ROUND(M543*IFERROR(INDEX(Weights!$B$2:$B$4,MATCH(G543,Weights!$A$2:$A$4,0)),0)*IFERROR(INDEX(Weights!$B$7:$B$11,MATCH(E543,Weights!$A$7:$A$11,0)),0)*IFERROR(INDEX(Weights!$B$14:$B$17,MATCH(TEXT(J543,"0"),Weights!$A$14:$A$17,0)),0)/(1+N(N543)/50),1))</f>
        <v/>
      </c>
      <c r="Q543" s="5" t="s">
        <v>42</v>
      </c>
    </row>
    <row r="544" customFormat="false" ht="15" hidden="false" customHeight="false" outlineLevel="0" collapsed="false">
      <c r="A544" s="5" t="n">
        <v>543</v>
      </c>
      <c r="B544" s="5" t="s">
        <v>686</v>
      </c>
      <c r="C544" s="5" t="s">
        <v>54</v>
      </c>
      <c r="D544" s="5" t="s">
        <v>36</v>
      </c>
      <c r="E544" s="5" t="s">
        <v>656</v>
      </c>
      <c r="F544" s="5" t="s">
        <v>657</v>
      </c>
      <c r="G544" s="5" t="s">
        <v>39</v>
      </c>
      <c r="H544" s="5" t="s">
        <v>40</v>
      </c>
      <c r="I544" s="5" t="s">
        <v>658</v>
      </c>
      <c r="J544" s="5" t="n">
        <v>1</v>
      </c>
      <c r="K544" s="5" t="s">
        <v>660</v>
      </c>
      <c r="L544" s="6"/>
      <c r="M544" s="6"/>
      <c r="N544" s="6"/>
      <c r="O544" s="6"/>
      <c r="P544" s="5" t="str">
        <f aca="false">IF(M544="","",ROUND(M544*IFERROR(INDEX(Weights!$B$2:$B$4,MATCH(G544,Weights!$A$2:$A$4,0)),0)*IFERROR(INDEX(Weights!$B$7:$B$11,MATCH(E544,Weights!$A$7:$A$11,0)),0)*IFERROR(INDEX(Weights!$B$14:$B$17,MATCH(TEXT(J544,"0"),Weights!$A$14:$A$17,0)),0)/(1+N(N544)/50),1))</f>
        <v/>
      </c>
      <c r="Q544" s="5" t="s">
        <v>122</v>
      </c>
    </row>
    <row r="545" customFormat="false" ht="15" hidden="false" customHeight="false" outlineLevel="0" collapsed="false">
      <c r="A545" s="5" t="n">
        <v>544</v>
      </c>
      <c r="B545" s="5" t="s">
        <v>687</v>
      </c>
      <c r="C545" s="5" t="s">
        <v>57</v>
      </c>
      <c r="D545" s="5" t="s">
        <v>36</v>
      </c>
      <c r="E545" s="5" t="s">
        <v>656</v>
      </c>
      <c r="F545" s="5" t="s">
        <v>657</v>
      </c>
      <c r="G545" s="5" t="s">
        <v>39</v>
      </c>
      <c r="H545" s="5" t="s">
        <v>40</v>
      </c>
      <c r="I545" s="5" t="s">
        <v>658</v>
      </c>
      <c r="J545" s="5" t="n">
        <v>1</v>
      </c>
      <c r="K545" s="5"/>
      <c r="L545" s="6"/>
      <c r="M545" s="6"/>
      <c r="N545" s="6"/>
      <c r="O545" s="6"/>
      <c r="P545" s="5" t="str">
        <f aca="false">IF(M545="","",ROUND(M545*IFERROR(INDEX(Weights!$B$2:$B$4,MATCH(G545,Weights!$A$2:$A$4,0)),0)*IFERROR(INDEX(Weights!$B$7:$B$11,MATCH(E545,Weights!$A$7:$A$11,0)),0)*IFERROR(INDEX(Weights!$B$14:$B$17,MATCH(TEXT(J545,"0"),Weights!$A$14:$A$17,0)),0)/(1+N(N545)/50),1))</f>
        <v/>
      </c>
      <c r="Q545" s="5" t="s">
        <v>42</v>
      </c>
    </row>
    <row r="546" customFormat="false" ht="15" hidden="false" customHeight="false" outlineLevel="0" collapsed="false">
      <c r="A546" s="5" t="n">
        <v>545</v>
      </c>
      <c r="B546" s="5" t="s">
        <v>688</v>
      </c>
      <c r="C546" s="5" t="s">
        <v>57</v>
      </c>
      <c r="D546" s="5" t="s">
        <v>36</v>
      </c>
      <c r="E546" s="5" t="s">
        <v>656</v>
      </c>
      <c r="F546" s="5" t="s">
        <v>657</v>
      </c>
      <c r="G546" s="5" t="s">
        <v>39</v>
      </c>
      <c r="H546" s="5" t="s">
        <v>40</v>
      </c>
      <c r="I546" s="5" t="s">
        <v>658</v>
      </c>
      <c r="J546" s="5" t="n">
        <v>1</v>
      </c>
      <c r="K546" s="5" t="s">
        <v>660</v>
      </c>
      <c r="L546" s="6"/>
      <c r="M546" s="6"/>
      <c r="N546" s="6"/>
      <c r="O546" s="6"/>
      <c r="P546" s="5" t="str">
        <f aca="false">IF(M546="","",ROUND(M546*IFERROR(INDEX(Weights!$B$2:$B$4,MATCH(G546,Weights!$A$2:$A$4,0)),0)*IFERROR(INDEX(Weights!$B$7:$B$11,MATCH(E546,Weights!$A$7:$A$11,0)),0)*IFERROR(INDEX(Weights!$B$14:$B$17,MATCH(TEXT(J546,"0"),Weights!$A$14:$A$17,0)),0)/(1+N(N546)/50),1))</f>
        <v/>
      </c>
      <c r="Q546" s="5" t="s">
        <v>122</v>
      </c>
    </row>
    <row r="547" customFormat="false" ht="15" hidden="false" customHeight="false" outlineLevel="0" collapsed="false">
      <c r="A547" s="5" t="n">
        <v>546</v>
      </c>
      <c r="B547" s="5" t="s">
        <v>689</v>
      </c>
      <c r="C547" s="5" t="s">
        <v>57</v>
      </c>
      <c r="D547" s="5" t="s">
        <v>36</v>
      </c>
      <c r="E547" s="5" t="s">
        <v>656</v>
      </c>
      <c r="F547" s="5" t="s">
        <v>657</v>
      </c>
      <c r="G547" s="5" t="s">
        <v>39</v>
      </c>
      <c r="H547" s="5" t="s">
        <v>40</v>
      </c>
      <c r="I547" s="5" t="s">
        <v>658</v>
      </c>
      <c r="J547" s="5" t="n">
        <v>1</v>
      </c>
      <c r="K547" s="5"/>
      <c r="L547" s="6"/>
      <c r="M547" s="6"/>
      <c r="N547" s="6"/>
      <c r="O547" s="6"/>
      <c r="P547" s="5" t="str">
        <f aca="false">IF(M547="","",ROUND(M547*IFERROR(INDEX(Weights!$B$2:$B$4,MATCH(G547,Weights!$A$2:$A$4,0)),0)*IFERROR(INDEX(Weights!$B$7:$B$11,MATCH(E547,Weights!$A$7:$A$11,0)),0)*IFERROR(INDEX(Weights!$B$14:$B$17,MATCH(TEXT(J547,"0"),Weights!$A$14:$A$17,0)),0)/(1+N(N547)/50),1))</f>
        <v/>
      </c>
      <c r="Q547" s="5" t="s">
        <v>42</v>
      </c>
    </row>
    <row r="548" customFormat="false" ht="15" hidden="false" customHeight="false" outlineLevel="0" collapsed="false">
      <c r="A548" s="5" t="n">
        <v>547</v>
      </c>
      <c r="B548" s="5" t="s">
        <v>690</v>
      </c>
      <c r="C548" s="5" t="s">
        <v>57</v>
      </c>
      <c r="D548" s="5" t="s">
        <v>36</v>
      </c>
      <c r="E548" s="5" t="s">
        <v>656</v>
      </c>
      <c r="F548" s="5" t="s">
        <v>657</v>
      </c>
      <c r="G548" s="5" t="s">
        <v>39</v>
      </c>
      <c r="H548" s="5" t="s">
        <v>40</v>
      </c>
      <c r="I548" s="5" t="s">
        <v>658</v>
      </c>
      <c r="J548" s="5" t="n">
        <v>1</v>
      </c>
      <c r="K548" s="5" t="s">
        <v>660</v>
      </c>
      <c r="L548" s="6"/>
      <c r="M548" s="6"/>
      <c r="N548" s="6"/>
      <c r="O548" s="6"/>
      <c r="P548" s="5" t="str">
        <f aca="false">IF(M548="","",ROUND(M548*IFERROR(INDEX(Weights!$B$2:$B$4,MATCH(G548,Weights!$A$2:$A$4,0)),0)*IFERROR(INDEX(Weights!$B$7:$B$11,MATCH(E548,Weights!$A$7:$A$11,0)),0)*IFERROR(INDEX(Weights!$B$14:$B$17,MATCH(TEXT(J548,"0"),Weights!$A$14:$A$17,0)),0)/(1+N(N548)/50),1))</f>
        <v/>
      </c>
      <c r="Q548" s="5" t="s">
        <v>122</v>
      </c>
    </row>
    <row r="549" customFormat="false" ht="15" hidden="false" customHeight="false" outlineLevel="0" collapsed="false">
      <c r="A549" s="5" t="n">
        <v>548</v>
      </c>
      <c r="B549" s="5" t="s">
        <v>691</v>
      </c>
      <c r="C549" s="5" t="s">
        <v>57</v>
      </c>
      <c r="D549" s="5" t="s">
        <v>36</v>
      </c>
      <c r="E549" s="5" t="s">
        <v>656</v>
      </c>
      <c r="F549" s="5" t="s">
        <v>657</v>
      </c>
      <c r="G549" s="5" t="s">
        <v>39</v>
      </c>
      <c r="H549" s="5" t="s">
        <v>40</v>
      </c>
      <c r="I549" s="5" t="s">
        <v>658</v>
      </c>
      <c r="J549" s="5" t="n">
        <v>1</v>
      </c>
      <c r="K549" s="5"/>
      <c r="L549" s="6"/>
      <c r="M549" s="6"/>
      <c r="N549" s="6"/>
      <c r="O549" s="6"/>
      <c r="P549" s="5" t="str">
        <f aca="false">IF(M549="","",ROUND(M549*IFERROR(INDEX(Weights!$B$2:$B$4,MATCH(G549,Weights!$A$2:$A$4,0)),0)*IFERROR(INDEX(Weights!$B$7:$B$11,MATCH(E549,Weights!$A$7:$A$11,0)),0)*IFERROR(INDEX(Weights!$B$14:$B$17,MATCH(TEXT(J549,"0"),Weights!$A$14:$A$17,0)),0)/(1+N(N549)/50),1))</f>
        <v/>
      </c>
      <c r="Q549" s="5" t="s">
        <v>42</v>
      </c>
    </row>
    <row r="550" customFormat="false" ht="15" hidden="false" customHeight="false" outlineLevel="0" collapsed="false">
      <c r="A550" s="5" t="n">
        <v>549</v>
      </c>
      <c r="B550" s="5" t="s">
        <v>692</v>
      </c>
      <c r="C550" s="5" t="s">
        <v>57</v>
      </c>
      <c r="D550" s="5" t="s">
        <v>36</v>
      </c>
      <c r="E550" s="5" t="s">
        <v>656</v>
      </c>
      <c r="F550" s="5" t="s">
        <v>657</v>
      </c>
      <c r="G550" s="5" t="s">
        <v>39</v>
      </c>
      <c r="H550" s="5" t="s">
        <v>40</v>
      </c>
      <c r="I550" s="5" t="s">
        <v>658</v>
      </c>
      <c r="J550" s="5" t="n">
        <v>1</v>
      </c>
      <c r="K550" s="5" t="s">
        <v>660</v>
      </c>
      <c r="L550" s="6"/>
      <c r="M550" s="6"/>
      <c r="N550" s="6"/>
      <c r="O550" s="6"/>
      <c r="P550" s="5" t="str">
        <f aca="false">IF(M550="","",ROUND(M550*IFERROR(INDEX(Weights!$B$2:$B$4,MATCH(G550,Weights!$A$2:$A$4,0)),0)*IFERROR(INDEX(Weights!$B$7:$B$11,MATCH(E550,Weights!$A$7:$A$11,0)),0)*IFERROR(INDEX(Weights!$B$14:$B$17,MATCH(TEXT(J550,"0"),Weights!$A$14:$A$17,0)),0)/(1+N(N550)/50),1))</f>
        <v/>
      </c>
      <c r="Q550" s="5" t="s">
        <v>122</v>
      </c>
    </row>
    <row r="551" customFormat="false" ht="15" hidden="false" customHeight="false" outlineLevel="0" collapsed="false">
      <c r="A551" s="5" t="n">
        <v>550</v>
      </c>
      <c r="B551" s="5" t="s">
        <v>693</v>
      </c>
      <c r="C551" s="5" t="s">
        <v>456</v>
      </c>
      <c r="D551" s="5" t="s">
        <v>36</v>
      </c>
      <c r="E551" s="5" t="s">
        <v>656</v>
      </c>
      <c r="F551" s="5" t="s">
        <v>657</v>
      </c>
      <c r="G551" s="5" t="s">
        <v>39</v>
      </c>
      <c r="H551" s="5" t="s">
        <v>40</v>
      </c>
      <c r="I551" s="5" t="s">
        <v>658</v>
      </c>
      <c r="J551" s="5" t="n">
        <v>1</v>
      </c>
      <c r="K551" s="5"/>
      <c r="L551" s="6"/>
      <c r="M551" s="6"/>
      <c r="N551" s="6"/>
      <c r="O551" s="6"/>
      <c r="P551" s="5" t="str">
        <f aca="false">IF(M551="","",ROUND(M551*IFERROR(INDEX(Weights!$B$2:$B$4,MATCH(G551,Weights!$A$2:$A$4,0)),0)*IFERROR(INDEX(Weights!$B$7:$B$11,MATCH(E551,Weights!$A$7:$A$11,0)),0)*IFERROR(INDEX(Weights!$B$14:$B$17,MATCH(TEXT(J551,"0"),Weights!$A$14:$A$17,0)),0)/(1+N(N551)/50),1))</f>
        <v/>
      </c>
      <c r="Q551" s="5" t="s">
        <v>42</v>
      </c>
    </row>
    <row r="552" customFormat="false" ht="15" hidden="false" customHeight="false" outlineLevel="0" collapsed="false">
      <c r="A552" s="5" t="n">
        <v>551</v>
      </c>
      <c r="B552" s="5" t="s">
        <v>694</v>
      </c>
      <c r="C552" s="5" t="s">
        <v>456</v>
      </c>
      <c r="D552" s="5" t="s">
        <v>36</v>
      </c>
      <c r="E552" s="5" t="s">
        <v>656</v>
      </c>
      <c r="F552" s="5" t="s">
        <v>657</v>
      </c>
      <c r="G552" s="5" t="s">
        <v>39</v>
      </c>
      <c r="H552" s="5" t="s">
        <v>40</v>
      </c>
      <c r="I552" s="5" t="s">
        <v>658</v>
      </c>
      <c r="J552" s="5" t="n">
        <v>1</v>
      </c>
      <c r="K552" s="5" t="s">
        <v>660</v>
      </c>
      <c r="L552" s="6"/>
      <c r="M552" s="6"/>
      <c r="N552" s="6"/>
      <c r="O552" s="6"/>
      <c r="P552" s="5" t="str">
        <f aca="false">IF(M552="","",ROUND(M552*IFERROR(INDEX(Weights!$B$2:$B$4,MATCH(G552,Weights!$A$2:$A$4,0)),0)*IFERROR(INDEX(Weights!$B$7:$B$11,MATCH(E552,Weights!$A$7:$A$11,0)),0)*IFERROR(INDEX(Weights!$B$14:$B$17,MATCH(TEXT(J552,"0"),Weights!$A$14:$A$17,0)),0)/(1+N(N552)/50),1))</f>
        <v/>
      </c>
      <c r="Q552" s="5" t="s">
        <v>122</v>
      </c>
    </row>
    <row r="553" customFormat="false" ht="15" hidden="false" customHeight="false" outlineLevel="0" collapsed="false">
      <c r="A553" s="5" t="n">
        <v>552</v>
      </c>
      <c r="B553" s="5" t="s">
        <v>695</v>
      </c>
      <c r="C553" s="5" t="s">
        <v>464</v>
      </c>
      <c r="D553" s="5" t="s">
        <v>36</v>
      </c>
      <c r="E553" s="5" t="s">
        <v>656</v>
      </c>
      <c r="F553" s="5" t="s">
        <v>657</v>
      </c>
      <c r="G553" s="5" t="s">
        <v>39</v>
      </c>
      <c r="H553" s="5" t="s">
        <v>40</v>
      </c>
      <c r="I553" s="5" t="s">
        <v>658</v>
      </c>
      <c r="J553" s="5" t="n">
        <v>1</v>
      </c>
      <c r="K553" s="5"/>
      <c r="L553" s="6"/>
      <c r="M553" s="6"/>
      <c r="N553" s="6"/>
      <c r="O553" s="6"/>
      <c r="P553" s="5" t="str">
        <f aca="false">IF(M553="","",ROUND(M553*IFERROR(INDEX(Weights!$B$2:$B$4,MATCH(G553,Weights!$A$2:$A$4,0)),0)*IFERROR(INDEX(Weights!$B$7:$B$11,MATCH(E553,Weights!$A$7:$A$11,0)),0)*IFERROR(INDEX(Weights!$B$14:$B$17,MATCH(TEXT(J553,"0"),Weights!$A$14:$A$17,0)),0)/(1+N(N553)/50),1))</f>
        <v/>
      </c>
      <c r="Q553" s="5" t="s">
        <v>42</v>
      </c>
    </row>
    <row r="554" customFormat="false" ht="15" hidden="false" customHeight="false" outlineLevel="0" collapsed="false">
      <c r="A554" s="5" t="n">
        <v>553</v>
      </c>
      <c r="B554" s="5" t="s">
        <v>696</v>
      </c>
      <c r="C554" s="5" t="s">
        <v>464</v>
      </c>
      <c r="D554" s="5" t="s">
        <v>36</v>
      </c>
      <c r="E554" s="5" t="s">
        <v>656</v>
      </c>
      <c r="F554" s="5" t="s">
        <v>657</v>
      </c>
      <c r="G554" s="5" t="s">
        <v>39</v>
      </c>
      <c r="H554" s="5" t="s">
        <v>40</v>
      </c>
      <c r="I554" s="5" t="s">
        <v>658</v>
      </c>
      <c r="J554" s="5" t="n">
        <v>1</v>
      </c>
      <c r="K554" s="5" t="s">
        <v>660</v>
      </c>
      <c r="L554" s="6"/>
      <c r="M554" s="6"/>
      <c r="N554" s="6"/>
      <c r="O554" s="6"/>
      <c r="P554" s="5" t="str">
        <f aca="false">IF(M554="","",ROUND(M554*IFERROR(INDEX(Weights!$B$2:$B$4,MATCH(G554,Weights!$A$2:$A$4,0)),0)*IFERROR(INDEX(Weights!$B$7:$B$11,MATCH(E554,Weights!$A$7:$A$11,0)),0)*IFERROR(INDEX(Weights!$B$14:$B$17,MATCH(TEXT(J554,"0"),Weights!$A$14:$A$17,0)),0)/(1+N(N554)/50),1))</f>
        <v/>
      </c>
      <c r="Q554" s="5" t="s">
        <v>122</v>
      </c>
    </row>
    <row r="555" customFormat="false" ht="15" hidden="false" customHeight="false" outlineLevel="0" collapsed="false">
      <c r="A555" s="5" t="n">
        <v>554</v>
      </c>
      <c r="B555" s="5" t="s">
        <v>697</v>
      </c>
      <c r="C555" s="5" t="s">
        <v>464</v>
      </c>
      <c r="D555" s="5" t="s">
        <v>36</v>
      </c>
      <c r="E555" s="5" t="s">
        <v>656</v>
      </c>
      <c r="F555" s="5" t="s">
        <v>657</v>
      </c>
      <c r="G555" s="5" t="s">
        <v>39</v>
      </c>
      <c r="H555" s="5" t="s">
        <v>40</v>
      </c>
      <c r="I555" s="5" t="s">
        <v>658</v>
      </c>
      <c r="J555" s="5" t="n">
        <v>1</v>
      </c>
      <c r="K555" s="5"/>
      <c r="L555" s="6"/>
      <c r="M555" s="6"/>
      <c r="N555" s="6"/>
      <c r="O555" s="6"/>
      <c r="P555" s="5" t="str">
        <f aca="false">IF(M555="","",ROUND(M555*IFERROR(INDEX(Weights!$B$2:$B$4,MATCH(G555,Weights!$A$2:$A$4,0)),0)*IFERROR(INDEX(Weights!$B$7:$B$11,MATCH(E555,Weights!$A$7:$A$11,0)),0)*IFERROR(INDEX(Weights!$B$14:$B$17,MATCH(TEXT(J555,"0"),Weights!$A$14:$A$17,0)),0)/(1+N(N555)/50),1))</f>
        <v/>
      </c>
      <c r="Q555" s="5" t="s">
        <v>42</v>
      </c>
    </row>
    <row r="556" customFormat="false" ht="15" hidden="false" customHeight="false" outlineLevel="0" collapsed="false">
      <c r="A556" s="5" t="n">
        <v>555</v>
      </c>
      <c r="B556" s="5" t="s">
        <v>698</v>
      </c>
      <c r="C556" s="5" t="s">
        <v>464</v>
      </c>
      <c r="D556" s="5" t="s">
        <v>36</v>
      </c>
      <c r="E556" s="5" t="s">
        <v>656</v>
      </c>
      <c r="F556" s="5" t="s">
        <v>657</v>
      </c>
      <c r="G556" s="5" t="s">
        <v>39</v>
      </c>
      <c r="H556" s="5" t="s">
        <v>40</v>
      </c>
      <c r="I556" s="5" t="s">
        <v>658</v>
      </c>
      <c r="J556" s="5" t="n">
        <v>1</v>
      </c>
      <c r="K556" s="5" t="s">
        <v>660</v>
      </c>
      <c r="L556" s="6"/>
      <c r="M556" s="6"/>
      <c r="N556" s="6"/>
      <c r="O556" s="6"/>
      <c r="P556" s="5" t="str">
        <f aca="false">IF(M556="","",ROUND(M556*IFERROR(INDEX(Weights!$B$2:$B$4,MATCH(G556,Weights!$A$2:$A$4,0)),0)*IFERROR(INDEX(Weights!$B$7:$B$11,MATCH(E556,Weights!$A$7:$A$11,0)),0)*IFERROR(INDEX(Weights!$B$14:$B$17,MATCH(TEXT(J556,"0"),Weights!$A$14:$A$17,0)),0)/(1+N(N556)/50),1))</f>
        <v/>
      </c>
      <c r="Q556" s="5" t="s">
        <v>122</v>
      </c>
    </row>
    <row r="557" customFormat="false" ht="15" hidden="false" customHeight="false" outlineLevel="0" collapsed="false">
      <c r="A557" s="5" t="n">
        <v>556</v>
      </c>
      <c r="B557" s="5" t="s">
        <v>699</v>
      </c>
      <c r="C557" s="5" t="s">
        <v>64</v>
      </c>
      <c r="D557" s="5" t="s">
        <v>36</v>
      </c>
      <c r="E557" s="5" t="s">
        <v>656</v>
      </c>
      <c r="F557" s="5" t="s">
        <v>657</v>
      </c>
      <c r="G557" s="5" t="s">
        <v>39</v>
      </c>
      <c r="H557" s="5" t="s">
        <v>40</v>
      </c>
      <c r="I557" s="5" t="s">
        <v>658</v>
      </c>
      <c r="J557" s="5" t="n">
        <v>1</v>
      </c>
      <c r="K557" s="5"/>
      <c r="L557" s="6"/>
      <c r="M557" s="6"/>
      <c r="N557" s="6"/>
      <c r="O557" s="6"/>
      <c r="P557" s="5" t="str">
        <f aca="false">IF(M557="","",ROUND(M557*IFERROR(INDEX(Weights!$B$2:$B$4,MATCH(G557,Weights!$A$2:$A$4,0)),0)*IFERROR(INDEX(Weights!$B$7:$B$11,MATCH(E557,Weights!$A$7:$A$11,0)),0)*IFERROR(INDEX(Weights!$B$14:$B$17,MATCH(TEXT(J557,"0"),Weights!$A$14:$A$17,0)),0)/(1+N(N557)/50),1))</f>
        <v/>
      </c>
      <c r="Q557" s="5" t="s">
        <v>42</v>
      </c>
    </row>
    <row r="558" customFormat="false" ht="15" hidden="false" customHeight="false" outlineLevel="0" collapsed="false">
      <c r="A558" s="5" t="n">
        <v>557</v>
      </c>
      <c r="B558" s="5" t="s">
        <v>700</v>
      </c>
      <c r="C558" s="5" t="s">
        <v>64</v>
      </c>
      <c r="D558" s="5" t="s">
        <v>36</v>
      </c>
      <c r="E558" s="5" t="s">
        <v>656</v>
      </c>
      <c r="F558" s="5" t="s">
        <v>657</v>
      </c>
      <c r="G558" s="5" t="s">
        <v>39</v>
      </c>
      <c r="H558" s="5" t="s">
        <v>40</v>
      </c>
      <c r="I558" s="5" t="s">
        <v>658</v>
      </c>
      <c r="J558" s="5" t="n">
        <v>1</v>
      </c>
      <c r="K558" s="5" t="s">
        <v>660</v>
      </c>
      <c r="L558" s="6"/>
      <c r="M558" s="6"/>
      <c r="N558" s="6"/>
      <c r="O558" s="6"/>
      <c r="P558" s="5" t="str">
        <f aca="false">IF(M558="","",ROUND(M558*IFERROR(INDEX(Weights!$B$2:$B$4,MATCH(G558,Weights!$A$2:$A$4,0)),0)*IFERROR(INDEX(Weights!$B$7:$B$11,MATCH(E558,Weights!$A$7:$A$11,0)),0)*IFERROR(INDEX(Weights!$B$14:$B$17,MATCH(TEXT(J558,"0"),Weights!$A$14:$A$17,0)),0)/(1+N(N558)/50),1))</f>
        <v/>
      </c>
      <c r="Q558" s="5" t="s">
        <v>122</v>
      </c>
    </row>
    <row r="559" customFormat="false" ht="15" hidden="false" customHeight="false" outlineLevel="0" collapsed="false">
      <c r="A559" s="5" t="n">
        <v>558</v>
      </c>
      <c r="B559" s="5" t="s">
        <v>701</v>
      </c>
      <c r="C559" s="5" t="s">
        <v>64</v>
      </c>
      <c r="D559" s="5" t="s">
        <v>36</v>
      </c>
      <c r="E559" s="5" t="s">
        <v>656</v>
      </c>
      <c r="F559" s="5" t="s">
        <v>657</v>
      </c>
      <c r="G559" s="5" t="s">
        <v>39</v>
      </c>
      <c r="H559" s="5" t="s">
        <v>40</v>
      </c>
      <c r="I559" s="5" t="s">
        <v>658</v>
      </c>
      <c r="J559" s="5" t="n">
        <v>1</v>
      </c>
      <c r="K559" s="5"/>
      <c r="L559" s="6"/>
      <c r="M559" s="6"/>
      <c r="N559" s="6"/>
      <c r="O559" s="6"/>
      <c r="P559" s="5" t="str">
        <f aca="false">IF(M559="","",ROUND(M559*IFERROR(INDEX(Weights!$B$2:$B$4,MATCH(G559,Weights!$A$2:$A$4,0)),0)*IFERROR(INDEX(Weights!$B$7:$B$11,MATCH(E559,Weights!$A$7:$A$11,0)),0)*IFERROR(INDEX(Weights!$B$14:$B$17,MATCH(TEXT(J559,"0"),Weights!$A$14:$A$17,0)),0)/(1+N(N559)/50),1))</f>
        <v/>
      </c>
      <c r="Q559" s="5" t="s">
        <v>42</v>
      </c>
    </row>
    <row r="560" customFormat="false" ht="15" hidden="false" customHeight="false" outlineLevel="0" collapsed="false">
      <c r="A560" s="5" t="n">
        <v>559</v>
      </c>
      <c r="B560" s="5" t="s">
        <v>702</v>
      </c>
      <c r="C560" s="5" t="s">
        <v>64</v>
      </c>
      <c r="D560" s="5" t="s">
        <v>36</v>
      </c>
      <c r="E560" s="5" t="s">
        <v>656</v>
      </c>
      <c r="F560" s="5" t="s">
        <v>657</v>
      </c>
      <c r="G560" s="5" t="s">
        <v>39</v>
      </c>
      <c r="H560" s="5" t="s">
        <v>40</v>
      </c>
      <c r="I560" s="5" t="s">
        <v>658</v>
      </c>
      <c r="J560" s="5" t="n">
        <v>1</v>
      </c>
      <c r="K560" s="5" t="s">
        <v>660</v>
      </c>
      <c r="L560" s="6"/>
      <c r="M560" s="6"/>
      <c r="N560" s="6"/>
      <c r="O560" s="6"/>
      <c r="P560" s="5" t="str">
        <f aca="false">IF(M560="","",ROUND(M560*IFERROR(INDEX(Weights!$B$2:$B$4,MATCH(G560,Weights!$A$2:$A$4,0)),0)*IFERROR(INDEX(Weights!$B$7:$B$11,MATCH(E560,Weights!$A$7:$A$11,0)),0)*IFERROR(INDEX(Weights!$B$14:$B$17,MATCH(TEXT(J560,"0"),Weights!$A$14:$A$17,0)),0)/(1+N(N560)/50),1))</f>
        <v/>
      </c>
      <c r="Q560" s="5" t="s">
        <v>122</v>
      </c>
    </row>
    <row r="561" customFormat="false" ht="15" hidden="false" customHeight="false" outlineLevel="0" collapsed="false">
      <c r="A561" s="5" t="n">
        <v>560</v>
      </c>
      <c r="B561" s="5" t="s">
        <v>703</v>
      </c>
      <c r="C561" s="5" t="s">
        <v>64</v>
      </c>
      <c r="D561" s="5" t="s">
        <v>36</v>
      </c>
      <c r="E561" s="5" t="s">
        <v>656</v>
      </c>
      <c r="F561" s="5" t="s">
        <v>657</v>
      </c>
      <c r="G561" s="5" t="s">
        <v>39</v>
      </c>
      <c r="H561" s="5" t="s">
        <v>40</v>
      </c>
      <c r="I561" s="5" t="s">
        <v>658</v>
      </c>
      <c r="J561" s="5" t="n">
        <v>1</v>
      </c>
      <c r="K561" s="5"/>
      <c r="L561" s="6"/>
      <c r="M561" s="6"/>
      <c r="N561" s="6"/>
      <c r="O561" s="6"/>
      <c r="P561" s="5" t="str">
        <f aca="false">IF(M561="","",ROUND(M561*IFERROR(INDEX(Weights!$B$2:$B$4,MATCH(G561,Weights!$A$2:$A$4,0)),0)*IFERROR(INDEX(Weights!$B$7:$B$11,MATCH(E561,Weights!$A$7:$A$11,0)),0)*IFERROR(INDEX(Weights!$B$14:$B$17,MATCH(TEXT(J561,"0"),Weights!$A$14:$A$17,0)),0)/(1+N(N561)/50),1))</f>
        <v/>
      </c>
      <c r="Q561" s="5" t="s">
        <v>42</v>
      </c>
    </row>
    <row r="562" customFormat="false" ht="15" hidden="false" customHeight="false" outlineLevel="0" collapsed="false">
      <c r="A562" s="5" t="n">
        <v>561</v>
      </c>
      <c r="B562" s="5" t="s">
        <v>704</v>
      </c>
      <c r="C562" s="5" t="s">
        <v>64</v>
      </c>
      <c r="D562" s="5" t="s">
        <v>36</v>
      </c>
      <c r="E562" s="5" t="s">
        <v>656</v>
      </c>
      <c r="F562" s="5" t="s">
        <v>657</v>
      </c>
      <c r="G562" s="5" t="s">
        <v>39</v>
      </c>
      <c r="H562" s="5" t="s">
        <v>40</v>
      </c>
      <c r="I562" s="5" t="s">
        <v>658</v>
      </c>
      <c r="J562" s="5" t="n">
        <v>1</v>
      </c>
      <c r="K562" s="5" t="s">
        <v>660</v>
      </c>
      <c r="L562" s="6"/>
      <c r="M562" s="6"/>
      <c r="N562" s="6"/>
      <c r="O562" s="6"/>
      <c r="P562" s="5" t="str">
        <f aca="false">IF(M562="","",ROUND(M562*IFERROR(INDEX(Weights!$B$2:$B$4,MATCH(G562,Weights!$A$2:$A$4,0)),0)*IFERROR(INDEX(Weights!$B$7:$B$11,MATCH(E562,Weights!$A$7:$A$11,0)),0)*IFERROR(INDEX(Weights!$B$14:$B$17,MATCH(TEXT(J562,"0"),Weights!$A$14:$A$17,0)),0)/(1+N(N562)/50),1))</f>
        <v/>
      </c>
      <c r="Q562" s="5" t="s">
        <v>122</v>
      </c>
    </row>
    <row r="563" customFormat="false" ht="15" hidden="false" customHeight="false" outlineLevel="0" collapsed="false">
      <c r="A563" s="5" t="n">
        <v>562</v>
      </c>
      <c r="B563" s="5" t="s">
        <v>705</v>
      </c>
      <c r="C563" s="5" t="s">
        <v>66</v>
      </c>
      <c r="D563" s="5" t="s">
        <v>36</v>
      </c>
      <c r="E563" s="5" t="s">
        <v>656</v>
      </c>
      <c r="F563" s="5" t="s">
        <v>657</v>
      </c>
      <c r="G563" s="5" t="s">
        <v>39</v>
      </c>
      <c r="H563" s="5" t="s">
        <v>40</v>
      </c>
      <c r="I563" s="5" t="s">
        <v>658</v>
      </c>
      <c r="J563" s="5" t="n">
        <v>1</v>
      </c>
      <c r="K563" s="5"/>
      <c r="L563" s="6"/>
      <c r="M563" s="6"/>
      <c r="N563" s="6"/>
      <c r="O563" s="6"/>
      <c r="P563" s="5" t="str">
        <f aca="false">IF(M563="","",ROUND(M563*IFERROR(INDEX(Weights!$B$2:$B$4,MATCH(G563,Weights!$A$2:$A$4,0)),0)*IFERROR(INDEX(Weights!$B$7:$B$11,MATCH(E563,Weights!$A$7:$A$11,0)),0)*IFERROR(INDEX(Weights!$B$14:$B$17,MATCH(TEXT(J563,"0"),Weights!$A$14:$A$17,0)),0)/(1+N(N563)/50),1))</f>
        <v/>
      </c>
      <c r="Q563" s="5" t="s">
        <v>42</v>
      </c>
    </row>
    <row r="564" customFormat="false" ht="15" hidden="false" customHeight="false" outlineLevel="0" collapsed="false">
      <c r="A564" s="5" t="n">
        <v>563</v>
      </c>
      <c r="B564" s="5" t="s">
        <v>706</v>
      </c>
      <c r="C564" s="5" t="s">
        <v>66</v>
      </c>
      <c r="D564" s="5" t="s">
        <v>36</v>
      </c>
      <c r="E564" s="5" t="s">
        <v>656</v>
      </c>
      <c r="F564" s="5" t="s">
        <v>657</v>
      </c>
      <c r="G564" s="5" t="s">
        <v>39</v>
      </c>
      <c r="H564" s="5" t="s">
        <v>40</v>
      </c>
      <c r="I564" s="5" t="s">
        <v>658</v>
      </c>
      <c r="J564" s="5" t="n">
        <v>1</v>
      </c>
      <c r="K564" s="5" t="s">
        <v>660</v>
      </c>
      <c r="L564" s="6"/>
      <c r="M564" s="6"/>
      <c r="N564" s="6"/>
      <c r="O564" s="6"/>
      <c r="P564" s="5" t="str">
        <f aca="false">IF(M564="","",ROUND(M564*IFERROR(INDEX(Weights!$B$2:$B$4,MATCH(G564,Weights!$A$2:$A$4,0)),0)*IFERROR(INDEX(Weights!$B$7:$B$11,MATCH(E564,Weights!$A$7:$A$11,0)),0)*IFERROR(INDEX(Weights!$B$14:$B$17,MATCH(TEXT(J564,"0"),Weights!$A$14:$A$17,0)),0)/(1+N(N564)/50),1))</f>
        <v/>
      </c>
      <c r="Q564" s="5" t="s">
        <v>122</v>
      </c>
    </row>
    <row r="565" customFormat="false" ht="15" hidden="false" customHeight="false" outlineLevel="0" collapsed="false">
      <c r="A565" s="5" t="n">
        <v>564</v>
      </c>
      <c r="B565" s="5" t="s">
        <v>707</v>
      </c>
      <c r="C565" s="5" t="s">
        <v>61</v>
      </c>
      <c r="D565" s="5" t="s">
        <v>36</v>
      </c>
      <c r="E565" s="5" t="s">
        <v>656</v>
      </c>
      <c r="F565" s="5" t="s">
        <v>657</v>
      </c>
      <c r="G565" s="5" t="s">
        <v>39</v>
      </c>
      <c r="H565" s="5" t="s">
        <v>40</v>
      </c>
      <c r="I565" s="5" t="s">
        <v>658</v>
      </c>
      <c r="J565" s="5" t="n">
        <v>1</v>
      </c>
      <c r="K565" s="5"/>
      <c r="L565" s="6"/>
      <c r="M565" s="6"/>
      <c r="N565" s="6"/>
      <c r="O565" s="6"/>
      <c r="P565" s="5" t="str">
        <f aca="false">IF(M565="","",ROUND(M565*IFERROR(INDEX(Weights!$B$2:$B$4,MATCH(G565,Weights!$A$2:$A$4,0)),0)*IFERROR(INDEX(Weights!$B$7:$B$11,MATCH(E565,Weights!$A$7:$A$11,0)),0)*IFERROR(INDEX(Weights!$B$14:$B$17,MATCH(TEXT(J565,"0"),Weights!$A$14:$A$17,0)),0)/(1+N(N565)/50),1))</f>
        <v/>
      </c>
      <c r="Q565" s="5" t="s">
        <v>42</v>
      </c>
    </row>
    <row r="566" customFormat="false" ht="15" hidden="false" customHeight="false" outlineLevel="0" collapsed="false">
      <c r="A566" s="5" t="n">
        <v>565</v>
      </c>
      <c r="B566" s="5" t="s">
        <v>708</v>
      </c>
      <c r="C566" s="5" t="s">
        <v>61</v>
      </c>
      <c r="D566" s="5" t="s">
        <v>36</v>
      </c>
      <c r="E566" s="5" t="s">
        <v>656</v>
      </c>
      <c r="F566" s="5" t="s">
        <v>657</v>
      </c>
      <c r="G566" s="5" t="s">
        <v>39</v>
      </c>
      <c r="H566" s="5" t="s">
        <v>40</v>
      </c>
      <c r="I566" s="5" t="s">
        <v>658</v>
      </c>
      <c r="J566" s="5" t="n">
        <v>1</v>
      </c>
      <c r="K566" s="5" t="s">
        <v>660</v>
      </c>
      <c r="L566" s="6"/>
      <c r="M566" s="6"/>
      <c r="N566" s="6"/>
      <c r="O566" s="6"/>
      <c r="P566" s="5" t="str">
        <f aca="false">IF(M566="","",ROUND(M566*IFERROR(INDEX(Weights!$B$2:$B$4,MATCH(G566,Weights!$A$2:$A$4,0)),0)*IFERROR(INDEX(Weights!$B$7:$B$11,MATCH(E566,Weights!$A$7:$A$11,0)),0)*IFERROR(INDEX(Weights!$B$14:$B$17,MATCH(TEXT(J566,"0"),Weights!$A$14:$A$17,0)),0)/(1+N(N566)/50),1))</f>
        <v/>
      </c>
      <c r="Q566" s="5" t="s">
        <v>122</v>
      </c>
    </row>
    <row r="567" customFormat="false" ht="15" hidden="false" customHeight="false" outlineLevel="0" collapsed="false">
      <c r="A567" s="5" t="n">
        <v>566</v>
      </c>
      <c r="B567" s="5" t="s">
        <v>709</v>
      </c>
      <c r="C567" s="5" t="s">
        <v>69</v>
      </c>
      <c r="D567" s="5" t="s">
        <v>36</v>
      </c>
      <c r="E567" s="5" t="s">
        <v>656</v>
      </c>
      <c r="F567" s="5" t="s">
        <v>657</v>
      </c>
      <c r="G567" s="5" t="s">
        <v>39</v>
      </c>
      <c r="H567" s="5" t="s">
        <v>40</v>
      </c>
      <c r="I567" s="5" t="s">
        <v>658</v>
      </c>
      <c r="J567" s="5" t="n">
        <v>1</v>
      </c>
      <c r="K567" s="5"/>
      <c r="L567" s="6"/>
      <c r="M567" s="6"/>
      <c r="N567" s="6"/>
      <c r="O567" s="6"/>
      <c r="P567" s="5" t="str">
        <f aca="false">IF(M567="","",ROUND(M567*IFERROR(INDEX(Weights!$B$2:$B$4,MATCH(G567,Weights!$A$2:$A$4,0)),0)*IFERROR(INDEX(Weights!$B$7:$B$11,MATCH(E567,Weights!$A$7:$A$11,0)),0)*IFERROR(INDEX(Weights!$B$14:$B$17,MATCH(TEXT(J567,"0"),Weights!$A$14:$A$17,0)),0)/(1+N(N567)/50),1))</f>
        <v/>
      </c>
      <c r="Q567" s="5" t="s">
        <v>42</v>
      </c>
    </row>
    <row r="568" customFormat="false" ht="15" hidden="false" customHeight="false" outlineLevel="0" collapsed="false">
      <c r="A568" s="5" t="n">
        <v>567</v>
      </c>
      <c r="B568" s="5" t="s">
        <v>710</v>
      </c>
      <c r="C568" s="5" t="s">
        <v>69</v>
      </c>
      <c r="D568" s="5" t="s">
        <v>36</v>
      </c>
      <c r="E568" s="5" t="s">
        <v>656</v>
      </c>
      <c r="F568" s="5" t="s">
        <v>657</v>
      </c>
      <c r="G568" s="5" t="s">
        <v>39</v>
      </c>
      <c r="H568" s="5" t="s">
        <v>40</v>
      </c>
      <c r="I568" s="5" t="s">
        <v>658</v>
      </c>
      <c r="J568" s="5" t="n">
        <v>1</v>
      </c>
      <c r="K568" s="5" t="s">
        <v>660</v>
      </c>
      <c r="L568" s="6"/>
      <c r="M568" s="6"/>
      <c r="N568" s="6"/>
      <c r="O568" s="6"/>
      <c r="P568" s="5" t="str">
        <f aca="false">IF(M568="","",ROUND(M568*IFERROR(INDEX(Weights!$B$2:$B$4,MATCH(G568,Weights!$A$2:$A$4,0)),0)*IFERROR(INDEX(Weights!$B$7:$B$11,MATCH(E568,Weights!$A$7:$A$11,0)),0)*IFERROR(INDEX(Weights!$B$14:$B$17,MATCH(TEXT(J568,"0"),Weights!$A$14:$A$17,0)),0)/(1+N(N568)/50),1))</f>
        <v/>
      </c>
      <c r="Q568" s="5" t="s">
        <v>122</v>
      </c>
    </row>
    <row r="569" customFormat="false" ht="15" hidden="false" customHeight="false" outlineLevel="0" collapsed="false">
      <c r="A569" s="5" t="n">
        <v>568</v>
      </c>
      <c r="B569" s="5" t="s">
        <v>711</v>
      </c>
      <c r="C569" s="5" t="s">
        <v>35</v>
      </c>
      <c r="D569" s="5" t="s">
        <v>36</v>
      </c>
      <c r="E569" s="5" t="s">
        <v>656</v>
      </c>
      <c r="F569" s="5" t="s">
        <v>712</v>
      </c>
      <c r="G569" s="5" t="s">
        <v>39</v>
      </c>
      <c r="H569" s="5" t="s">
        <v>40</v>
      </c>
      <c r="I569" s="5" t="s">
        <v>658</v>
      </c>
      <c r="J569" s="5" t="n">
        <v>2</v>
      </c>
      <c r="K569" s="5"/>
      <c r="L569" s="6"/>
      <c r="M569" s="6"/>
      <c r="N569" s="6"/>
      <c r="O569" s="6"/>
      <c r="P569" s="5" t="str">
        <f aca="false">IF(M569="","",ROUND(M569*IFERROR(INDEX(Weights!$B$2:$B$4,MATCH(G569,Weights!$A$2:$A$4,0)),0)*IFERROR(INDEX(Weights!$B$7:$B$11,MATCH(E569,Weights!$A$7:$A$11,0)),0)*IFERROR(INDEX(Weights!$B$14:$B$17,MATCH(TEXT(J569,"0"),Weights!$A$14:$A$17,0)),0)/(1+N(N569)/50),1))</f>
        <v/>
      </c>
      <c r="Q569" s="5" t="s">
        <v>42</v>
      </c>
    </row>
    <row r="570" customFormat="false" ht="15" hidden="false" customHeight="false" outlineLevel="0" collapsed="false">
      <c r="A570" s="5" t="n">
        <v>569</v>
      </c>
      <c r="B570" s="5" t="s">
        <v>713</v>
      </c>
      <c r="C570" s="5" t="s">
        <v>35</v>
      </c>
      <c r="D570" s="5" t="s">
        <v>36</v>
      </c>
      <c r="E570" s="5" t="s">
        <v>656</v>
      </c>
      <c r="F570" s="5" t="s">
        <v>712</v>
      </c>
      <c r="G570" s="5" t="s">
        <v>39</v>
      </c>
      <c r="H570" s="5" t="s">
        <v>40</v>
      </c>
      <c r="I570" s="5" t="s">
        <v>658</v>
      </c>
      <c r="J570" s="5" t="n">
        <v>2</v>
      </c>
      <c r="K570" s="5"/>
      <c r="L570" s="6"/>
      <c r="M570" s="6"/>
      <c r="N570" s="6"/>
      <c r="O570" s="6"/>
      <c r="P570" s="5" t="str">
        <f aca="false">IF(M570="","",ROUND(M570*IFERROR(INDEX(Weights!$B$2:$B$4,MATCH(G570,Weights!$A$2:$A$4,0)),0)*IFERROR(INDEX(Weights!$B$7:$B$11,MATCH(E570,Weights!$A$7:$A$11,0)),0)*IFERROR(INDEX(Weights!$B$14:$B$17,MATCH(TEXT(J570,"0"),Weights!$A$14:$A$17,0)),0)/(1+N(N570)/50),1))</f>
        <v/>
      </c>
      <c r="Q570" s="5" t="s">
        <v>42</v>
      </c>
    </row>
    <row r="571" customFormat="false" ht="15" hidden="false" customHeight="false" outlineLevel="0" collapsed="false">
      <c r="A571" s="5" t="n">
        <v>570</v>
      </c>
      <c r="B571" s="5" t="s">
        <v>714</v>
      </c>
      <c r="C571" s="5" t="s">
        <v>35</v>
      </c>
      <c r="D571" s="5" t="s">
        <v>36</v>
      </c>
      <c r="E571" s="5" t="s">
        <v>656</v>
      </c>
      <c r="F571" s="5" t="s">
        <v>712</v>
      </c>
      <c r="G571" s="5" t="s">
        <v>39</v>
      </c>
      <c r="H571" s="5" t="s">
        <v>40</v>
      </c>
      <c r="I571" s="5" t="s">
        <v>658</v>
      </c>
      <c r="J571" s="5" t="n">
        <v>2</v>
      </c>
      <c r="K571" s="5"/>
      <c r="L571" s="6"/>
      <c r="M571" s="6"/>
      <c r="N571" s="6"/>
      <c r="O571" s="6"/>
      <c r="P571" s="5" t="str">
        <f aca="false">IF(M571="","",ROUND(M571*IFERROR(INDEX(Weights!$B$2:$B$4,MATCH(G571,Weights!$A$2:$A$4,0)),0)*IFERROR(INDEX(Weights!$B$7:$B$11,MATCH(E571,Weights!$A$7:$A$11,0)),0)*IFERROR(INDEX(Weights!$B$14:$B$17,MATCH(TEXT(J571,"0"),Weights!$A$14:$A$17,0)),0)/(1+N(N571)/50),1))</f>
        <v/>
      </c>
      <c r="Q571" s="5" t="s">
        <v>42</v>
      </c>
    </row>
    <row r="572" customFormat="false" ht="15" hidden="false" customHeight="false" outlineLevel="0" collapsed="false">
      <c r="A572" s="5" t="n">
        <v>571</v>
      </c>
      <c r="B572" s="5" t="s">
        <v>715</v>
      </c>
      <c r="C572" s="5" t="s">
        <v>35</v>
      </c>
      <c r="D572" s="5" t="s">
        <v>36</v>
      </c>
      <c r="E572" s="5" t="s">
        <v>656</v>
      </c>
      <c r="F572" s="5" t="s">
        <v>712</v>
      </c>
      <c r="G572" s="5" t="s">
        <v>39</v>
      </c>
      <c r="H572" s="5" t="s">
        <v>40</v>
      </c>
      <c r="I572" s="5" t="s">
        <v>658</v>
      </c>
      <c r="J572" s="5" t="n">
        <v>2</v>
      </c>
      <c r="K572" s="5"/>
      <c r="L572" s="6"/>
      <c r="M572" s="6"/>
      <c r="N572" s="6"/>
      <c r="O572" s="6"/>
      <c r="P572" s="5" t="str">
        <f aca="false">IF(M572="","",ROUND(M572*IFERROR(INDEX(Weights!$B$2:$B$4,MATCH(G572,Weights!$A$2:$A$4,0)),0)*IFERROR(INDEX(Weights!$B$7:$B$11,MATCH(E572,Weights!$A$7:$A$11,0)),0)*IFERROR(INDEX(Weights!$B$14:$B$17,MATCH(TEXT(J572,"0"),Weights!$A$14:$A$17,0)),0)/(1+N(N572)/50),1))</f>
        <v/>
      </c>
      <c r="Q572" s="5" t="s">
        <v>42</v>
      </c>
    </row>
    <row r="573" customFormat="false" ht="15" hidden="false" customHeight="false" outlineLevel="0" collapsed="false">
      <c r="A573" s="5" t="n">
        <v>572</v>
      </c>
      <c r="B573" s="5" t="s">
        <v>716</v>
      </c>
      <c r="C573" s="5" t="s">
        <v>35</v>
      </c>
      <c r="D573" s="5" t="s">
        <v>36</v>
      </c>
      <c r="E573" s="5" t="s">
        <v>656</v>
      </c>
      <c r="F573" s="5" t="s">
        <v>712</v>
      </c>
      <c r="G573" s="5" t="s">
        <v>39</v>
      </c>
      <c r="H573" s="5" t="s">
        <v>40</v>
      </c>
      <c r="I573" s="5" t="s">
        <v>658</v>
      </c>
      <c r="J573" s="5" t="n">
        <v>2</v>
      </c>
      <c r="K573" s="5"/>
      <c r="L573" s="6"/>
      <c r="M573" s="6"/>
      <c r="N573" s="6"/>
      <c r="O573" s="6"/>
      <c r="P573" s="5" t="str">
        <f aca="false">IF(M573="","",ROUND(M573*IFERROR(INDEX(Weights!$B$2:$B$4,MATCH(G573,Weights!$A$2:$A$4,0)),0)*IFERROR(INDEX(Weights!$B$7:$B$11,MATCH(E573,Weights!$A$7:$A$11,0)),0)*IFERROR(INDEX(Weights!$B$14:$B$17,MATCH(TEXT(J573,"0"),Weights!$A$14:$A$17,0)),0)/(1+N(N573)/50),1))</f>
        <v/>
      </c>
      <c r="Q573" s="5" t="s">
        <v>42</v>
      </c>
    </row>
    <row r="574" customFormat="false" ht="15" hidden="false" customHeight="false" outlineLevel="0" collapsed="false">
      <c r="A574" s="5" t="n">
        <v>573</v>
      </c>
      <c r="B574" s="5" t="s">
        <v>717</v>
      </c>
      <c r="C574" s="5" t="s">
        <v>47</v>
      </c>
      <c r="D574" s="5" t="s">
        <v>36</v>
      </c>
      <c r="E574" s="5" t="s">
        <v>656</v>
      </c>
      <c r="F574" s="5" t="s">
        <v>712</v>
      </c>
      <c r="G574" s="5" t="s">
        <v>39</v>
      </c>
      <c r="H574" s="5" t="s">
        <v>40</v>
      </c>
      <c r="I574" s="5" t="s">
        <v>658</v>
      </c>
      <c r="J574" s="5" t="n">
        <v>2</v>
      </c>
      <c r="K574" s="5"/>
      <c r="L574" s="6"/>
      <c r="M574" s="6"/>
      <c r="N574" s="6"/>
      <c r="O574" s="6"/>
      <c r="P574" s="5" t="str">
        <f aca="false">IF(M574="","",ROUND(M574*IFERROR(INDEX(Weights!$B$2:$B$4,MATCH(G574,Weights!$A$2:$A$4,0)),0)*IFERROR(INDEX(Weights!$B$7:$B$11,MATCH(E574,Weights!$A$7:$A$11,0)),0)*IFERROR(INDEX(Weights!$B$14:$B$17,MATCH(TEXT(J574,"0"),Weights!$A$14:$A$17,0)),0)/(1+N(N574)/50),1))</f>
        <v/>
      </c>
      <c r="Q574" s="5" t="s">
        <v>42</v>
      </c>
    </row>
    <row r="575" customFormat="false" ht="15" hidden="false" customHeight="false" outlineLevel="0" collapsed="false">
      <c r="A575" s="5" t="n">
        <v>574</v>
      </c>
      <c r="B575" s="5" t="s">
        <v>718</v>
      </c>
      <c r="C575" s="5" t="s">
        <v>47</v>
      </c>
      <c r="D575" s="5" t="s">
        <v>36</v>
      </c>
      <c r="E575" s="5" t="s">
        <v>656</v>
      </c>
      <c r="F575" s="5" t="s">
        <v>712</v>
      </c>
      <c r="G575" s="5" t="s">
        <v>39</v>
      </c>
      <c r="H575" s="5" t="s">
        <v>40</v>
      </c>
      <c r="I575" s="5" t="s">
        <v>658</v>
      </c>
      <c r="J575" s="5" t="n">
        <v>2</v>
      </c>
      <c r="K575" s="5"/>
      <c r="L575" s="6"/>
      <c r="M575" s="6"/>
      <c r="N575" s="6"/>
      <c r="O575" s="6"/>
      <c r="P575" s="5" t="str">
        <f aca="false">IF(M575="","",ROUND(M575*IFERROR(INDEX(Weights!$B$2:$B$4,MATCH(G575,Weights!$A$2:$A$4,0)),0)*IFERROR(INDEX(Weights!$B$7:$B$11,MATCH(E575,Weights!$A$7:$A$11,0)),0)*IFERROR(INDEX(Weights!$B$14:$B$17,MATCH(TEXT(J575,"0"),Weights!$A$14:$A$17,0)),0)/(1+N(N575)/50),1))</f>
        <v/>
      </c>
      <c r="Q575" s="5" t="s">
        <v>42</v>
      </c>
    </row>
    <row r="576" customFormat="false" ht="15" hidden="false" customHeight="false" outlineLevel="0" collapsed="false">
      <c r="A576" s="5" t="n">
        <v>575</v>
      </c>
      <c r="B576" s="5" t="s">
        <v>719</v>
      </c>
      <c r="C576" s="5" t="s">
        <v>47</v>
      </c>
      <c r="D576" s="5" t="s">
        <v>36</v>
      </c>
      <c r="E576" s="5" t="s">
        <v>656</v>
      </c>
      <c r="F576" s="5" t="s">
        <v>712</v>
      </c>
      <c r="G576" s="5" t="s">
        <v>39</v>
      </c>
      <c r="H576" s="5" t="s">
        <v>40</v>
      </c>
      <c r="I576" s="5" t="s">
        <v>658</v>
      </c>
      <c r="J576" s="5" t="n">
        <v>2</v>
      </c>
      <c r="K576" s="5"/>
      <c r="L576" s="6"/>
      <c r="M576" s="6"/>
      <c r="N576" s="6"/>
      <c r="O576" s="6"/>
      <c r="P576" s="5" t="str">
        <f aca="false">IF(M576="","",ROUND(M576*IFERROR(INDEX(Weights!$B$2:$B$4,MATCH(G576,Weights!$A$2:$A$4,0)),0)*IFERROR(INDEX(Weights!$B$7:$B$11,MATCH(E576,Weights!$A$7:$A$11,0)),0)*IFERROR(INDEX(Weights!$B$14:$B$17,MATCH(TEXT(J576,"0"),Weights!$A$14:$A$17,0)),0)/(1+N(N576)/50),1))</f>
        <v/>
      </c>
      <c r="Q576" s="5" t="s">
        <v>42</v>
      </c>
    </row>
    <row r="577" customFormat="false" ht="15" hidden="false" customHeight="false" outlineLevel="0" collapsed="false">
      <c r="A577" s="5" t="n">
        <v>576</v>
      </c>
      <c r="B577" s="5" t="s">
        <v>720</v>
      </c>
      <c r="C577" s="5" t="s">
        <v>47</v>
      </c>
      <c r="D577" s="5" t="s">
        <v>36</v>
      </c>
      <c r="E577" s="5" t="s">
        <v>656</v>
      </c>
      <c r="F577" s="5" t="s">
        <v>712</v>
      </c>
      <c r="G577" s="5" t="s">
        <v>39</v>
      </c>
      <c r="H577" s="5" t="s">
        <v>40</v>
      </c>
      <c r="I577" s="5" t="s">
        <v>658</v>
      </c>
      <c r="J577" s="5" t="n">
        <v>2</v>
      </c>
      <c r="K577" s="5"/>
      <c r="L577" s="6"/>
      <c r="M577" s="6"/>
      <c r="N577" s="6"/>
      <c r="O577" s="6"/>
      <c r="P577" s="5" t="str">
        <f aca="false">IF(M577="","",ROUND(M577*IFERROR(INDEX(Weights!$B$2:$B$4,MATCH(G577,Weights!$A$2:$A$4,0)),0)*IFERROR(INDEX(Weights!$B$7:$B$11,MATCH(E577,Weights!$A$7:$A$11,0)),0)*IFERROR(INDEX(Weights!$B$14:$B$17,MATCH(TEXT(J577,"0"),Weights!$A$14:$A$17,0)),0)/(1+N(N577)/50),1))</f>
        <v/>
      </c>
      <c r="Q577" s="5" t="s">
        <v>42</v>
      </c>
    </row>
    <row r="578" customFormat="false" ht="15" hidden="false" customHeight="false" outlineLevel="0" collapsed="false">
      <c r="A578" s="5" t="n">
        <v>577</v>
      </c>
      <c r="B578" s="5" t="s">
        <v>721</v>
      </c>
      <c r="C578" s="5" t="s">
        <v>47</v>
      </c>
      <c r="D578" s="5" t="s">
        <v>36</v>
      </c>
      <c r="E578" s="5" t="s">
        <v>656</v>
      </c>
      <c r="F578" s="5" t="s">
        <v>712</v>
      </c>
      <c r="G578" s="5" t="s">
        <v>39</v>
      </c>
      <c r="H578" s="5" t="s">
        <v>40</v>
      </c>
      <c r="I578" s="5" t="s">
        <v>658</v>
      </c>
      <c r="J578" s="5" t="n">
        <v>2</v>
      </c>
      <c r="K578" s="5"/>
      <c r="L578" s="6"/>
      <c r="M578" s="6"/>
      <c r="N578" s="6"/>
      <c r="O578" s="6"/>
      <c r="P578" s="5" t="str">
        <f aca="false">IF(M578="","",ROUND(M578*IFERROR(INDEX(Weights!$B$2:$B$4,MATCH(G578,Weights!$A$2:$A$4,0)),0)*IFERROR(INDEX(Weights!$B$7:$B$11,MATCH(E578,Weights!$A$7:$A$11,0)),0)*IFERROR(INDEX(Weights!$B$14:$B$17,MATCH(TEXT(J578,"0"),Weights!$A$14:$A$17,0)),0)/(1+N(N578)/50),1))</f>
        <v/>
      </c>
      <c r="Q578" s="5" t="s">
        <v>42</v>
      </c>
    </row>
    <row r="579" customFormat="false" ht="15" hidden="false" customHeight="false" outlineLevel="0" collapsed="false">
      <c r="A579" s="5" t="n">
        <v>578</v>
      </c>
      <c r="B579" s="5" t="s">
        <v>722</v>
      </c>
      <c r="C579" s="5" t="s">
        <v>51</v>
      </c>
      <c r="D579" s="5" t="s">
        <v>36</v>
      </c>
      <c r="E579" s="5" t="s">
        <v>656</v>
      </c>
      <c r="F579" s="5" t="s">
        <v>712</v>
      </c>
      <c r="G579" s="5" t="s">
        <v>39</v>
      </c>
      <c r="H579" s="5" t="s">
        <v>40</v>
      </c>
      <c r="I579" s="5" t="s">
        <v>658</v>
      </c>
      <c r="J579" s="5" t="n">
        <v>2</v>
      </c>
      <c r="K579" s="5"/>
      <c r="L579" s="6"/>
      <c r="M579" s="6"/>
      <c r="N579" s="6"/>
      <c r="O579" s="6"/>
      <c r="P579" s="5" t="str">
        <f aca="false">IF(M579="","",ROUND(M579*IFERROR(INDEX(Weights!$B$2:$B$4,MATCH(G579,Weights!$A$2:$A$4,0)),0)*IFERROR(INDEX(Weights!$B$7:$B$11,MATCH(E579,Weights!$A$7:$A$11,0)),0)*IFERROR(INDEX(Weights!$B$14:$B$17,MATCH(TEXT(J579,"0"),Weights!$A$14:$A$17,0)),0)/(1+N(N579)/50),1))</f>
        <v/>
      </c>
      <c r="Q579" s="5" t="s">
        <v>42</v>
      </c>
    </row>
    <row r="580" customFormat="false" ht="15" hidden="false" customHeight="false" outlineLevel="0" collapsed="false">
      <c r="A580" s="5" t="n">
        <v>579</v>
      </c>
      <c r="B580" s="5" t="s">
        <v>723</v>
      </c>
      <c r="C580" s="5" t="s">
        <v>51</v>
      </c>
      <c r="D580" s="5" t="s">
        <v>36</v>
      </c>
      <c r="E580" s="5" t="s">
        <v>656</v>
      </c>
      <c r="F580" s="5" t="s">
        <v>712</v>
      </c>
      <c r="G580" s="5" t="s">
        <v>39</v>
      </c>
      <c r="H580" s="5" t="s">
        <v>40</v>
      </c>
      <c r="I580" s="5" t="s">
        <v>658</v>
      </c>
      <c r="J580" s="5" t="n">
        <v>2</v>
      </c>
      <c r="K580" s="5"/>
      <c r="L580" s="6"/>
      <c r="M580" s="6"/>
      <c r="N580" s="6"/>
      <c r="O580" s="6"/>
      <c r="P580" s="5" t="str">
        <f aca="false">IF(M580="","",ROUND(M580*IFERROR(INDEX(Weights!$B$2:$B$4,MATCH(G580,Weights!$A$2:$A$4,0)),0)*IFERROR(INDEX(Weights!$B$7:$B$11,MATCH(E580,Weights!$A$7:$A$11,0)),0)*IFERROR(INDEX(Weights!$B$14:$B$17,MATCH(TEXT(J580,"0"),Weights!$A$14:$A$17,0)),0)/(1+N(N580)/50),1))</f>
        <v/>
      </c>
      <c r="Q580" s="5" t="s">
        <v>42</v>
      </c>
    </row>
    <row r="581" customFormat="false" ht="15" hidden="false" customHeight="false" outlineLevel="0" collapsed="false">
      <c r="A581" s="5" t="n">
        <v>580</v>
      </c>
      <c r="B581" s="5" t="s">
        <v>724</v>
      </c>
      <c r="C581" s="5" t="s">
        <v>54</v>
      </c>
      <c r="D581" s="5" t="s">
        <v>36</v>
      </c>
      <c r="E581" s="5" t="s">
        <v>656</v>
      </c>
      <c r="F581" s="5" t="s">
        <v>712</v>
      </c>
      <c r="G581" s="5" t="s">
        <v>39</v>
      </c>
      <c r="H581" s="5" t="s">
        <v>40</v>
      </c>
      <c r="I581" s="5" t="s">
        <v>658</v>
      </c>
      <c r="J581" s="5" t="n">
        <v>2</v>
      </c>
      <c r="K581" s="5"/>
      <c r="L581" s="6"/>
      <c r="M581" s="6"/>
      <c r="N581" s="6"/>
      <c r="O581" s="6"/>
      <c r="P581" s="5" t="str">
        <f aca="false">IF(M581="","",ROUND(M581*IFERROR(INDEX(Weights!$B$2:$B$4,MATCH(G581,Weights!$A$2:$A$4,0)),0)*IFERROR(INDEX(Weights!$B$7:$B$11,MATCH(E581,Weights!$A$7:$A$11,0)),0)*IFERROR(INDEX(Weights!$B$14:$B$17,MATCH(TEXT(J581,"0"),Weights!$A$14:$A$17,0)),0)/(1+N(N581)/50),1))</f>
        <v/>
      </c>
      <c r="Q581" s="5" t="s">
        <v>42</v>
      </c>
    </row>
    <row r="582" customFormat="false" ht="15" hidden="false" customHeight="false" outlineLevel="0" collapsed="false">
      <c r="A582" s="5" t="n">
        <v>581</v>
      </c>
      <c r="B582" s="5" t="s">
        <v>725</v>
      </c>
      <c r="C582" s="5" t="s">
        <v>54</v>
      </c>
      <c r="D582" s="5" t="s">
        <v>36</v>
      </c>
      <c r="E582" s="5" t="s">
        <v>656</v>
      </c>
      <c r="F582" s="5" t="s">
        <v>712</v>
      </c>
      <c r="G582" s="5" t="s">
        <v>39</v>
      </c>
      <c r="H582" s="5" t="s">
        <v>40</v>
      </c>
      <c r="I582" s="5" t="s">
        <v>658</v>
      </c>
      <c r="J582" s="5" t="n">
        <v>2</v>
      </c>
      <c r="K582" s="5"/>
      <c r="L582" s="6"/>
      <c r="M582" s="6"/>
      <c r="N582" s="6"/>
      <c r="O582" s="6"/>
      <c r="P582" s="5" t="str">
        <f aca="false">IF(M582="","",ROUND(M582*IFERROR(INDEX(Weights!$B$2:$B$4,MATCH(G582,Weights!$A$2:$A$4,0)),0)*IFERROR(INDEX(Weights!$B$7:$B$11,MATCH(E582,Weights!$A$7:$A$11,0)),0)*IFERROR(INDEX(Weights!$B$14:$B$17,MATCH(TEXT(J582,"0"),Weights!$A$14:$A$17,0)),0)/(1+N(N582)/50),1))</f>
        <v/>
      </c>
      <c r="Q582" s="5" t="s">
        <v>42</v>
      </c>
    </row>
    <row r="583" customFormat="false" ht="15" hidden="false" customHeight="false" outlineLevel="0" collapsed="false">
      <c r="A583" s="5" t="n">
        <v>582</v>
      </c>
      <c r="B583" s="5" t="s">
        <v>726</v>
      </c>
      <c r="C583" s="5" t="s">
        <v>57</v>
      </c>
      <c r="D583" s="5" t="s">
        <v>36</v>
      </c>
      <c r="E583" s="5" t="s">
        <v>656</v>
      </c>
      <c r="F583" s="5" t="s">
        <v>712</v>
      </c>
      <c r="G583" s="5" t="s">
        <v>39</v>
      </c>
      <c r="H583" s="5" t="s">
        <v>40</v>
      </c>
      <c r="I583" s="5" t="s">
        <v>658</v>
      </c>
      <c r="J583" s="5" t="n">
        <v>2</v>
      </c>
      <c r="K583" s="5"/>
      <c r="L583" s="6"/>
      <c r="M583" s="6"/>
      <c r="N583" s="6"/>
      <c r="O583" s="6"/>
      <c r="P583" s="5" t="str">
        <f aca="false">IF(M583="","",ROUND(M583*IFERROR(INDEX(Weights!$B$2:$B$4,MATCH(G583,Weights!$A$2:$A$4,0)),0)*IFERROR(INDEX(Weights!$B$7:$B$11,MATCH(E583,Weights!$A$7:$A$11,0)),0)*IFERROR(INDEX(Weights!$B$14:$B$17,MATCH(TEXT(J583,"0"),Weights!$A$14:$A$17,0)),0)/(1+N(N583)/50),1))</f>
        <v/>
      </c>
      <c r="Q583" s="5" t="s">
        <v>42</v>
      </c>
    </row>
    <row r="584" customFormat="false" ht="15" hidden="false" customHeight="false" outlineLevel="0" collapsed="false">
      <c r="A584" s="5" t="n">
        <v>583</v>
      </c>
      <c r="B584" s="5" t="s">
        <v>727</v>
      </c>
      <c r="C584" s="5" t="s">
        <v>57</v>
      </c>
      <c r="D584" s="5" t="s">
        <v>36</v>
      </c>
      <c r="E584" s="5" t="s">
        <v>656</v>
      </c>
      <c r="F584" s="5" t="s">
        <v>712</v>
      </c>
      <c r="G584" s="5" t="s">
        <v>39</v>
      </c>
      <c r="H584" s="5" t="s">
        <v>40</v>
      </c>
      <c r="I584" s="5" t="s">
        <v>658</v>
      </c>
      <c r="J584" s="5" t="n">
        <v>2</v>
      </c>
      <c r="K584" s="5"/>
      <c r="L584" s="6"/>
      <c r="M584" s="6"/>
      <c r="N584" s="6"/>
      <c r="O584" s="6"/>
      <c r="P584" s="5" t="str">
        <f aca="false">IF(M584="","",ROUND(M584*IFERROR(INDEX(Weights!$B$2:$B$4,MATCH(G584,Weights!$A$2:$A$4,0)),0)*IFERROR(INDEX(Weights!$B$7:$B$11,MATCH(E584,Weights!$A$7:$A$11,0)),0)*IFERROR(INDEX(Weights!$B$14:$B$17,MATCH(TEXT(J584,"0"),Weights!$A$14:$A$17,0)),0)/(1+N(N584)/50),1))</f>
        <v/>
      </c>
      <c r="Q584" s="5" t="s">
        <v>42</v>
      </c>
    </row>
    <row r="585" customFormat="false" ht="15" hidden="false" customHeight="false" outlineLevel="0" collapsed="false">
      <c r="A585" s="5" t="n">
        <v>584</v>
      </c>
      <c r="B585" s="5" t="s">
        <v>728</v>
      </c>
      <c r="C585" s="5" t="s">
        <v>57</v>
      </c>
      <c r="D585" s="5" t="s">
        <v>36</v>
      </c>
      <c r="E585" s="5" t="s">
        <v>656</v>
      </c>
      <c r="F585" s="5" t="s">
        <v>712</v>
      </c>
      <c r="G585" s="5" t="s">
        <v>39</v>
      </c>
      <c r="H585" s="5" t="s">
        <v>40</v>
      </c>
      <c r="I585" s="5" t="s">
        <v>658</v>
      </c>
      <c r="J585" s="5" t="n">
        <v>2</v>
      </c>
      <c r="K585" s="5"/>
      <c r="L585" s="6"/>
      <c r="M585" s="6"/>
      <c r="N585" s="6"/>
      <c r="O585" s="6"/>
      <c r="P585" s="5" t="str">
        <f aca="false">IF(M585="","",ROUND(M585*IFERROR(INDEX(Weights!$B$2:$B$4,MATCH(G585,Weights!$A$2:$A$4,0)),0)*IFERROR(INDEX(Weights!$B$7:$B$11,MATCH(E585,Weights!$A$7:$A$11,0)),0)*IFERROR(INDEX(Weights!$B$14:$B$17,MATCH(TEXT(J585,"0"),Weights!$A$14:$A$17,0)),0)/(1+N(N585)/50),1))</f>
        <v/>
      </c>
      <c r="Q585" s="5" t="s">
        <v>42</v>
      </c>
    </row>
    <row r="586" customFormat="false" ht="15" hidden="false" customHeight="false" outlineLevel="0" collapsed="false">
      <c r="A586" s="5" t="n">
        <v>585</v>
      </c>
      <c r="B586" s="5" t="s">
        <v>729</v>
      </c>
      <c r="C586" s="5" t="s">
        <v>456</v>
      </c>
      <c r="D586" s="5" t="s">
        <v>36</v>
      </c>
      <c r="E586" s="5" t="s">
        <v>656</v>
      </c>
      <c r="F586" s="5" t="s">
        <v>712</v>
      </c>
      <c r="G586" s="5" t="s">
        <v>39</v>
      </c>
      <c r="H586" s="5" t="s">
        <v>40</v>
      </c>
      <c r="I586" s="5" t="s">
        <v>658</v>
      </c>
      <c r="J586" s="5" t="n">
        <v>2</v>
      </c>
      <c r="K586" s="5"/>
      <c r="L586" s="6"/>
      <c r="M586" s="6"/>
      <c r="N586" s="6"/>
      <c r="O586" s="6"/>
      <c r="P586" s="5" t="str">
        <f aca="false">IF(M586="","",ROUND(M586*IFERROR(INDEX(Weights!$B$2:$B$4,MATCH(G586,Weights!$A$2:$A$4,0)),0)*IFERROR(INDEX(Weights!$B$7:$B$11,MATCH(E586,Weights!$A$7:$A$11,0)),0)*IFERROR(INDEX(Weights!$B$14:$B$17,MATCH(TEXT(J586,"0"),Weights!$A$14:$A$17,0)),0)/(1+N(N586)/50),1))</f>
        <v/>
      </c>
      <c r="Q586" s="5" t="s">
        <v>42</v>
      </c>
    </row>
    <row r="587" customFormat="false" ht="15" hidden="false" customHeight="false" outlineLevel="0" collapsed="false">
      <c r="A587" s="5" t="n">
        <v>586</v>
      </c>
      <c r="B587" s="5" t="s">
        <v>730</v>
      </c>
      <c r="C587" s="5" t="s">
        <v>464</v>
      </c>
      <c r="D587" s="5" t="s">
        <v>36</v>
      </c>
      <c r="E587" s="5" t="s">
        <v>656</v>
      </c>
      <c r="F587" s="5" t="s">
        <v>712</v>
      </c>
      <c r="G587" s="5" t="s">
        <v>39</v>
      </c>
      <c r="H587" s="5" t="s">
        <v>40</v>
      </c>
      <c r="I587" s="5" t="s">
        <v>658</v>
      </c>
      <c r="J587" s="5" t="n">
        <v>2</v>
      </c>
      <c r="K587" s="5"/>
      <c r="L587" s="6"/>
      <c r="M587" s="6"/>
      <c r="N587" s="6"/>
      <c r="O587" s="6"/>
      <c r="P587" s="5" t="str">
        <f aca="false">IF(M587="","",ROUND(M587*IFERROR(INDEX(Weights!$B$2:$B$4,MATCH(G587,Weights!$A$2:$A$4,0)),0)*IFERROR(INDEX(Weights!$B$7:$B$11,MATCH(E587,Weights!$A$7:$A$11,0)),0)*IFERROR(INDEX(Weights!$B$14:$B$17,MATCH(TEXT(J587,"0"),Weights!$A$14:$A$17,0)),0)/(1+N(N587)/50),1))</f>
        <v/>
      </c>
      <c r="Q587" s="5" t="s">
        <v>42</v>
      </c>
    </row>
    <row r="588" customFormat="false" ht="15" hidden="false" customHeight="false" outlineLevel="0" collapsed="false">
      <c r="A588" s="5" t="n">
        <v>587</v>
      </c>
      <c r="B588" s="5" t="s">
        <v>731</v>
      </c>
      <c r="C588" s="5" t="s">
        <v>464</v>
      </c>
      <c r="D588" s="5" t="s">
        <v>36</v>
      </c>
      <c r="E588" s="5" t="s">
        <v>656</v>
      </c>
      <c r="F588" s="5" t="s">
        <v>712</v>
      </c>
      <c r="G588" s="5" t="s">
        <v>39</v>
      </c>
      <c r="H588" s="5" t="s">
        <v>40</v>
      </c>
      <c r="I588" s="5" t="s">
        <v>658</v>
      </c>
      <c r="J588" s="5" t="n">
        <v>2</v>
      </c>
      <c r="K588" s="5"/>
      <c r="L588" s="6"/>
      <c r="M588" s="6"/>
      <c r="N588" s="6"/>
      <c r="O588" s="6"/>
      <c r="P588" s="5" t="str">
        <f aca="false">IF(M588="","",ROUND(M588*IFERROR(INDEX(Weights!$B$2:$B$4,MATCH(G588,Weights!$A$2:$A$4,0)),0)*IFERROR(INDEX(Weights!$B$7:$B$11,MATCH(E588,Weights!$A$7:$A$11,0)),0)*IFERROR(INDEX(Weights!$B$14:$B$17,MATCH(TEXT(J588,"0"),Weights!$A$14:$A$17,0)),0)/(1+N(N588)/50),1))</f>
        <v/>
      </c>
      <c r="Q588" s="5" t="s">
        <v>42</v>
      </c>
    </row>
    <row r="589" customFormat="false" ht="15" hidden="false" customHeight="false" outlineLevel="0" collapsed="false">
      <c r="A589" s="5" t="n">
        <v>588</v>
      </c>
      <c r="B589" s="5" t="s">
        <v>732</v>
      </c>
      <c r="C589" s="5" t="s">
        <v>64</v>
      </c>
      <c r="D589" s="5" t="s">
        <v>36</v>
      </c>
      <c r="E589" s="5" t="s">
        <v>656</v>
      </c>
      <c r="F589" s="5" t="s">
        <v>712</v>
      </c>
      <c r="G589" s="5" t="s">
        <v>39</v>
      </c>
      <c r="H589" s="5" t="s">
        <v>40</v>
      </c>
      <c r="I589" s="5" t="s">
        <v>658</v>
      </c>
      <c r="J589" s="5" t="n">
        <v>2</v>
      </c>
      <c r="K589" s="5"/>
      <c r="L589" s="6"/>
      <c r="M589" s="6"/>
      <c r="N589" s="6"/>
      <c r="O589" s="6"/>
      <c r="P589" s="5" t="str">
        <f aca="false">IF(M589="","",ROUND(M589*IFERROR(INDEX(Weights!$B$2:$B$4,MATCH(G589,Weights!$A$2:$A$4,0)),0)*IFERROR(INDEX(Weights!$B$7:$B$11,MATCH(E589,Weights!$A$7:$A$11,0)),0)*IFERROR(INDEX(Weights!$B$14:$B$17,MATCH(TEXT(J589,"0"),Weights!$A$14:$A$17,0)),0)/(1+N(N589)/50),1))</f>
        <v/>
      </c>
      <c r="Q589" s="5" t="s">
        <v>42</v>
      </c>
    </row>
    <row r="590" customFormat="false" ht="15" hidden="false" customHeight="false" outlineLevel="0" collapsed="false">
      <c r="A590" s="5" t="n">
        <v>589</v>
      </c>
      <c r="B590" s="5" t="s">
        <v>733</v>
      </c>
      <c r="C590" s="5" t="s">
        <v>64</v>
      </c>
      <c r="D590" s="5" t="s">
        <v>36</v>
      </c>
      <c r="E590" s="5" t="s">
        <v>656</v>
      </c>
      <c r="F590" s="5" t="s">
        <v>712</v>
      </c>
      <c r="G590" s="5" t="s">
        <v>39</v>
      </c>
      <c r="H590" s="5" t="s">
        <v>40</v>
      </c>
      <c r="I590" s="5" t="s">
        <v>658</v>
      </c>
      <c r="J590" s="5" t="n">
        <v>2</v>
      </c>
      <c r="K590" s="5"/>
      <c r="L590" s="6"/>
      <c r="M590" s="6"/>
      <c r="N590" s="6"/>
      <c r="O590" s="6"/>
      <c r="P590" s="5" t="str">
        <f aca="false">IF(M590="","",ROUND(M590*IFERROR(INDEX(Weights!$B$2:$B$4,MATCH(G590,Weights!$A$2:$A$4,0)),0)*IFERROR(INDEX(Weights!$B$7:$B$11,MATCH(E590,Weights!$A$7:$A$11,0)),0)*IFERROR(INDEX(Weights!$B$14:$B$17,MATCH(TEXT(J590,"0"),Weights!$A$14:$A$17,0)),0)/(1+N(N590)/50),1))</f>
        <v/>
      </c>
      <c r="Q590" s="5" t="s">
        <v>42</v>
      </c>
    </row>
    <row r="591" customFormat="false" ht="15" hidden="false" customHeight="false" outlineLevel="0" collapsed="false">
      <c r="A591" s="5" t="n">
        <v>590</v>
      </c>
      <c r="B591" s="5" t="s">
        <v>734</v>
      </c>
      <c r="C591" s="5" t="s">
        <v>64</v>
      </c>
      <c r="D591" s="5" t="s">
        <v>36</v>
      </c>
      <c r="E591" s="5" t="s">
        <v>656</v>
      </c>
      <c r="F591" s="5" t="s">
        <v>712</v>
      </c>
      <c r="G591" s="5" t="s">
        <v>39</v>
      </c>
      <c r="H591" s="5" t="s">
        <v>40</v>
      </c>
      <c r="I591" s="5" t="s">
        <v>658</v>
      </c>
      <c r="J591" s="5" t="n">
        <v>2</v>
      </c>
      <c r="K591" s="5"/>
      <c r="L591" s="6"/>
      <c r="M591" s="6"/>
      <c r="N591" s="6"/>
      <c r="O591" s="6"/>
      <c r="P591" s="5" t="str">
        <f aca="false">IF(M591="","",ROUND(M591*IFERROR(INDEX(Weights!$B$2:$B$4,MATCH(G591,Weights!$A$2:$A$4,0)),0)*IFERROR(INDEX(Weights!$B$7:$B$11,MATCH(E591,Weights!$A$7:$A$11,0)),0)*IFERROR(INDEX(Weights!$B$14:$B$17,MATCH(TEXT(J591,"0"),Weights!$A$14:$A$17,0)),0)/(1+N(N591)/50),1))</f>
        <v/>
      </c>
      <c r="Q591" s="5" t="s">
        <v>42</v>
      </c>
    </row>
    <row r="592" customFormat="false" ht="15" hidden="false" customHeight="false" outlineLevel="0" collapsed="false">
      <c r="A592" s="5" t="n">
        <v>591</v>
      </c>
      <c r="B592" s="5" t="s">
        <v>735</v>
      </c>
      <c r="C592" s="5" t="s">
        <v>66</v>
      </c>
      <c r="D592" s="5" t="s">
        <v>36</v>
      </c>
      <c r="E592" s="5" t="s">
        <v>656</v>
      </c>
      <c r="F592" s="5" t="s">
        <v>712</v>
      </c>
      <c r="G592" s="5" t="s">
        <v>39</v>
      </c>
      <c r="H592" s="5" t="s">
        <v>40</v>
      </c>
      <c r="I592" s="5" t="s">
        <v>658</v>
      </c>
      <c r="J592" s="5" t="n">
        <v>2</v>
      </c>
      <c r="K592" s="5"/>
      <c r="L592" s="6"/>
      <c r="M592" s="6"/>
      <c r="N592" s="6"/>
      <c r="O592" s="6"/>
      <c r="P592" s="5" t="str">
        <f aca="false">IF(M592="","",ROUND(M592*IFERROR(INDEX(Weights!$B$2:$B$4,MATCH(G592,Weights!$A$2:$A$4,0)),0)*IFERROR(INDEX(Weights!$B$7:$B$11,MATCH(E592,Weights!$A$7:$A$11,0)),0)*IFERROR(INDEX(Weights!$B$14:$B$17,MATCH(TEXT(J592,"0"),Weights!$A$14:$A$17,0)),0)/(1+N(N592)/50),1))</f>
        <v/>
      </c>
      <c r="Q592" s="5" t="s">
        <v>42</v>
      </c>
    </row>
    <row r="593" customFormat="false" ht="15" hidden="false" customHeight="false" outlineLevel="0" collapsed="false">
      <c r="A593" s="5" t="n">
        <v>592</v>
      </c>
      <c r="B593" s="5" t="s">
        <v>736</v>
      </c>
      <c r="C593" s="5" t="s">
        <v>61</v>
      </c>
      <c r="D593" s="5" t="s">
        <v>36</v>
      </c>
      <c r="E593" s="5" t="s">
        <v>656</v>
      </c>
      <c r="F593" s="5" t="s">
        <v>712</v>
      </c>
      <c r="G593" s="5" t="s">
        <v>39</v>
      </c>
      <c r="H593" s="5" t="s">
        <v>40</v>
      </c>
      <c r="I593" s="5" t="s">
        <v>658</v>
      </c>
      <c r="J593" s="5" t="n">
        <v>2</v>
      </c>
      <c r="K593" s="5"/>
      <c r="L593" s="6"/>
      <c r="M593" s="6"/>
      <c r="N593" s="6"/>
      <c r="O593" s="6"/>
      <c r="P593" s="5" t="str">
        <f aca="false">IF(M593="","",ROUND(M593*IFERROR(INDEX(Weights!$B$2:$B$4,MATCH(G593,Weights!$A$2:$A$4,0)),0)*IFERROR(INDEX(Weights!$B$7:$B$11,MATCH(E593,Weights!$A$7:$A$11,0)),0)*IFERROR(INDEX(Weights!$B$14:$B$17,MATCH(TEXT(J593,"0"),Weights!$A$14:$A$17,0)),0)/(1+N(N593)/50),1))</f>
        <v/>
      </c>
      <c r="Q593" s="5" t="s">
        <v>42</v>
      </c>
    </row>
    <row r="594" customFormat="false" ht="15" hidden="false" customHeight="false" outlineLevel="0" collapsed="false">
      <c r="A594" s="5" t="n">
        <v>593</v>
      </c>
      <c r="B594" s="5" t="s">
        <v>737</v>
      </c>
      <c r="C594" s="5" t="s">
        <v>69</v>
      </c>
      <c r="D594" s="5" t="s">
        <v>36</v>
      </c>
      <c r="E594" s="5" t="s">
        <v>656</v>
      </c>
      <c r="F594" s="5" t="s">
        <v>712</v>
      </c>
      <c r="G594" s="5" t="s">
        <v>39</v>
      </c>
      <c r="H594" s="5" t="s">
        <v>40</v>
      </c>
      <c r="I594" s="5" t="s">
        <v>658</v>
      </c>
      <c r="J594" s="5" t="n">
        <v>2</v>
      </c>
      <c r="K594" s="5"/>
      <c r="L594" s="6"/>
      <c r="M594" s="6"/>
      <c r="N594" s="6"/>
      <c r="O594" s="6"/>
      <c r="P594" s="5" t="str">
        <f aca="false">IF(M594="","",ROUND(M594*IFERROR(INDEX(Weights!$B$2:$B$4,MATCH(G594,Weights!$A$2:$A$4,0)),0)*IFERROR(INDEX(Weights!$B$7:$B$11,MATCH(E594,Weights!$A$7:$A$11,0)),0)*IFERROR(INDEX(Weights!$B$14:$B$17,MATCH(TEXT(J594,"0"),Weights!$A$14:$A$17,0)),0)/(1+N(N594)/50),1))</f>
        <v/>
      </c>
      <c r="Q594" s="5" t="s">
        <v>42</v>
      </c>
    </row>
    <row r="595" customFormat="false" ht="15" hidden="false" customHeight="false" outlineLevel="0" collapsed="false">
      <c r="A595" s="5" t="n">
        <v>594</v>
      </c>
      <c r="B595" s="5" t="s">
        <v>738</v>
      </c>
      <c r="C595" s="5" t="s">
        <v>35</v>
      </c>
      <c r="D595" s="5" t="s">
        <v>36</v>
      </c>
      <c r="E595" s="5" t="s">
        <v>656</v>
      </c>
      <c r="F595" s="5" t="s">
        <v>739</v>
      </c>
      <c r="G595" s="5" t="s">
        <v>39</v>
      </c>
      <c r="H595" s="5" t="s">
        <v>40</v>
      </c>
      <c r="I595" s="5" t="s">
        <v>658</v>
      </c>
      <c r="J595" s="5" t="n">
        <v>3</v>
      </c>
      <c r="K595" s="5"/>
      <c r="L595" s="6"/>
      <c r="M595" s="6"/>
      <c r="N595" s="6"/>
      <c r="O595" s="6"/>
      <c r="P595" s="5" t="str">
        <f aca="false">IF(M595="","",ROUND(M595*IFERROR(INDEX(Weights!$B$2:$B$4,MATCH(G595,Weights!$A$2:$A$4,0)),0)*IFERROR(INDEX(Weights!$B$7:$B$11,MATCH(E595,Weights!$A$7:$A$11,0)),0)*IFERROR(INDEX(Weights!$B$14:$B$17,MATCH(TEXT(J595,"0"),Weights!$A$14:$A$17,0)),0)/(1+N(N595)/50),1))</f>
        <v/>
      </c>
      <c r="Q595" s="5" t="s">
        <v>42</v>
      </c>
    </row>
    <row r="596" customFormat="false" ht="15" hidden="false" customHeight="false" outlineLevel="0" collapsed="false">
      <c r="A596" s="5" t="n">
        <v>595</v>
      </c>
      <c r="B596" s="5" t="s">
        <v>740</v>
      </c>
      <c r="C596" s="5" t="s">
        <v>35</v>
      </c>
      <c r="D596" s="5" t="s">
        <v>36</v>
      </c>
      <c r="E596" s="5" t="s">
        <v>656</v>
      </c>
      <c r="F596" s="5" t="s">
        <v>739</v>
      </c>
      <c r="G596" s="5" t="s">
        <v>39</v>
      </c>
      <c r="H596" s="5" t="s">
        <v>40</v>
      </c>
      <c r="I596" s="5" t="s">
        <v>658</v>
      </c>
      <c r="J596" s="5" t="n">
        <v>3</v>
      </c>
      <c r="K596" s="5"/>
      <c r="L596" s="6"/>
      <c r="M596" s="6"/>
      <c r="N596" s="6"/>
      <c r="O596" s="6"/>
      <c r="P596" s="5" t="str">
        <f aca="false">IF(M596="","",ROUND(M596*IFERROR(INDEX(Weights!$B$2:$B$4,MATCH(G596,Weights!$A$2:$A$4,0)),0)*IFERROR(INDEX(Weights!$B$7:$B$11,MATCH(E596,Weights!$A$7:$A$11,0)),0)*IFERROR(INDEX(Weights!$B$14:$B$17,MATCH(TEXT(J596,"0"),Weights!$A$14:$A$17,0)),0)/(1+N(N596)/50),1))</f>
        <v/>
      </c>
      <c r="Q596" s="5" t="s">
        <v>42</v>
      </c>
    </row>
    <row r="597" customFormat="false" ht="15" hidden="false" customHeight="false" outlineLevel="0" collapsed="false">
      <c r="A597" s="5" t="n">
        <v>596</v>
      </c>
      <c r="B597" s="5" t="s">
        <v>741</v>
      </c>
      <c r="C597" s="5" t="s">
        <v>35</v>
      </c>
      <c r="D597" s="5" t="s">
        <v>36</v>
      </c>
      <c r="E597" s="5" t="s">
        <v>656</v>
      </c>
      <c r="F597" s="5" t="s">
        <v>739</v>
      </c>
      <c r="G597" s="5" t="s">
        <v>39</v>
      </c>
      <c r="H597" s="5" t="s">
        <v>40</v>
      </c>
      <c r="I597" s="5" t="s">
        <v>658</v>
      </c>
      <c r="J597" s="5" t="n">
        <v>3</v>
      </c>
      <c r="K597" s="5"/>
      <c r="L597" s="6"/>
      <c r="M597" s="6"/>
      <c r="N597" s="6"/>
      <c r="O597" s="6"/>
      <c r="P597" s="5" t="str">
        <f aca="false">IF(M597="","",ROUND(M597*IFERROR(INDEX(Weights!$B$2:$B$4,MATCH(G597,Weights!$A$2:$A$4,0)),0)*IFERROR(INDEX(Weights!$B$7:$B$11,MATCH(E597,Weights!$A$7:$A$11,0)),0)*IFERROR(INDEX(Weights!$B$14:$B$17,MATCH(TEXT(J597,"0"),Weights!$A$14:$A$17,0)),0)/(1+N(N597)/50),1))</f>
        <v/>
      </c>
      <c r="Q597" s="5" t="s">
        <v>42</v>
      </c>
    </row>
    <row r="598" customFormat="false" ht="15" hidden="false" customHeight="false" outlineLevel="0" collapsed="false">
      <c r="A598" s="5" t="n">
        <v>597</v>
      </c>
      <c r="B598" s="5" t="s">
        <v>742</v>
      </c>
      <c r="C598" s="5" t="s">
        <v>35</v>
      </c>
      <c r="D598" s="5" t="s">
        <v>36</v>
      </c>
      <c r="E598" s="5" t="s">
        <v>656</v>
      </c>
      <c r="F598" s="5" t="s">
        <v>739</v>
      </c>
      <c r="G598" s="5" t="s">
        <v>39</v>
      </c>
      <c r="H598" s="5" t="s">
        <v>40</v>
      </c>
      <c r="I598" s="5" t="s">
        <v>658</v>
      </c>
      <c r="J598" s="5" t="n">
        <v>3</v>
      </c>
      <c r="K598" s="5"/>
      <c r="L598" s="6"/>
      <c r="M598" s="6"/>
      <c r="N598" s="6"/>
      <c r="O598" s="6"/>
      <c r="P598" s="5" t="str">
        <f aca="false">IF(M598="","",ROUND(M598*IFERROR(INDEX(Weights!$B$2:$B$4,MATCH(G598,Weights!$A$2:$A$4,0)),0)*IFERROR(INDEX(Weights!$B$7:$B$11,MATCH(E598,Weights!$A$7:$A$11,0)),0)*IFERROR(INDEX(Weights!$B$14:$B$17,MATCH(TEXT(J598,"0"),Weights!$A$14:$A$17,0)),0)/(1+N(N598)/50),1))</f>
        <v/>
      </c>
      <c r="Q598" s="5" t="s">
        <v>42</v>
      </c>
    </row>
    <row r="599" customFormat="false" ht="15" hidden="false" customHeight="false" outlineLevel="0" collapsed="false">
      <c r="A599" s="5" t="n">
        <v>598</v>
      </c>
      <c r="B599" s="5" t="s">
        <v>743</v>
      </c>
      <c r="C599" s="5" t="s">
        <v>35</v>
      </c>
      <c r="D599" s="5" t="s">
        <v>36</v>
      </c>
      <c r="E599" s="5" t="s">
        <v>656</v>
      </c>
      <c r="F599" s="5" t="s">
        <v>739</v>
      </c>
      <c r="G599" s="5" t="s">
        <v>39</v>
      </c>
      <c r="H599" s="5" t="s">
        <v>40</v>
      </c>
      <c r="I599" s="5" t="s">
        <v>658</v>
      </c>
      <c r="J599" s="5" t="n">
        <v>3</v>
      </c>
      <c r="K599" s="5"/>
      <c r="L599" s="6"/>
      <c r="M599" s="6"/>
      <c r="N599" s="6"/>
      <c r="O599" s="6"/>
      <c r="P599" s="5" t="str">
        <f aca="false">IF(M599="","",ROUND(M599*IFERROR(INDEX(Weights!$B$2:$B$4,MATCH(G599,Weights!$A$2:$A$4,0)),0)*IFERROR(INDEX(Weights!$B$7:$B$11,MATCH(E599,Weights!$A$7:$A$11,0)),0)*IFERROR(INDEX(Weights!$B$14:$B$17,MATCH(TEXT(J599,"0"),Weights!$A$14:$A$17,0)),0)/(1+N(N599)/50),1))</f>
        <v/>
      </c>
      <c r="Q599" s="5" t="s">
        <v>42</v>
      </c>
    </row>
    <row r="600" customFormat="false" ht="15" hidden="false" customHeight="false" outlineLevel="0" collapsed="false">
      <c r="A600" s="5" t="n">
        <v>599</v>
      </c>
      <c r="B600" s="5" t="s">
        <v>744</v>
      </c>
      <c r="C600" s="5" t="s">
        <v>47</v>
      </c>
      <c r="D600" s="5" t="s">
        <v>36</v>
      </c>
      <c r="E600" s="5" t="s">
        <v>656</v>
      </c>
      <c r="F600" s="5" t="s">
        <v>739</v>
      </c>
      <c r="G600" s="5" t="s">
        <v>39</v>
      </c>
      <c r="H600" s="5" t="s">
        <v>40</v>
      </c>
      <c r="I600" s="5" t="s">
        <v>658</v>
      </c>
      <c r="J600" s="5" t="n">
        <v>3</v>
      </c>
      <c r="K600" s="5"/>
      <c r="L600" s="6"/>
      <c r="M600" s="6"/>
      <c r="N600" s="6"/>
      <c r="O600" s="6"/>
      <c r="P600" s="5" t="str">
        <f aca="false">IF(M600="","",ROUND(M600*IFERROR(INDEX(Weights!$B$2:$B$4,MATCH(G600,Weights!$A$2:$A$4,0)),0)*IFERROR(INDEX(Weights!$B$7:$B$11,MATCH(E600,Weights!$A$7:$A$11,0)),0)*IFERROR(INDEX(Weights!$B$14:$B$17,MATCH(TEXT(J600,"0"),Weights!$A$14:$A$17,0)),0)/(1+N(N600)/50),1))</f>
        <v/>
      </c>
      <c r="Q600" s="5" t="s">
        <v>42</v>
      </c>
    </row>
    <row r="601" customFormat="false" ht="15" hidden="false" customHeight="false" outlineLevel="0" collapsed="false">
      <c r="A601" s="5" t="n">
        <v>600</v>
      </c>
      <c r="B601" s="5" t="s">
        <v>745</v>
      </c>
      <c r="C601" s="5" t="s">
        <v>47</v>
      </c>
      <c r="D601" s="5" t="s">
        <v>36</v>
      </c>
      <c r="E601" s="5" t="s">
        <v>656</v>
      </c>
      <c r="F601" s="5" t="s">
        <v>739</v>
      </c>
      <c r="G601" s="5" t="s">
        <v>39</v>
      </c>
      <c r="H601" s="5" t="s">
        <v>40</v>
      </c>
      <c r="I601" s="5" t="s">
        <v>658</v>
      </c>
      <c r="J601" s="5" t="n">
        <v>3</v>
      </c>
      <c r="K601" s="5"/>
      <c r="L601" s="6"/>
      <c r="M601" s="6"/>
      <c r="N601" s="6"/>
      <c r="O601" s="6"/>
      <c r="P601" s="5" t="str">
        <f aca="false">IF(M601="","",ROUND(M601*IFERROR(INDEX(Weights!$B$2:$B$4,MATCH(G601,Weights!$A$2:$A$4,0)),0)*IFERROR(INDEX(Weights!$B$7:$B$11,MATCH(E601,Weights!$A$7:$A$11,0)),0)*IFERROR(INDEX(Weights!$B$14:$B$17,MATCH(TEXT(J601,"0"),Weights!$A$14:$A$17,0)),0)/(1+N(N601)/50),1))</f>
        <v/>
      </c>
      <c r="Q601" s="5" t="s">
        <v>42</v>
      </c>
    </row>
    <row r="602" customFormat="false" ht="15" hidden="false" customHeight="false" outlineLevel="0" collapsed="false">
      <c r="A602" s="5" t="n">
        <v>601</v>
      </c>
      <c r="B602" s="5" t="s">
        <v>746</v>
      </c>
      <c r="C602" s="5" t="s">
        <v>47</v>
      </c>
      <c r="D602" s="5" t="s">
        <v>36</v>
      </c>
      <c r="E602" s="5" t="s">
        <v>656</v>
      </c>
      <c r="F602" s="5" t="s">
        <v>739</v>
      </c>
      <c r="G602" s="5" t="s">
        <v>39</v>
      </c>
      <c r="H602" s="5" t="s">
        <v>40</v>
      </c>
      <c r="I602" s="5" t="s">
        <v>658</v>
      </c>
      <c r="J602" s="5" t="n">
        <v>3</v>
      </c>
      <c r="K602" s="5"/>
      <c r="L602" s="6"/>
      <c r="M602" s="6"/>
      <c r="N602" s="6"/>
      <c r="O602" s="6"/>
      <c r="P602" s="5" t="str">
        <f aca="false">IF(M602="","",ROUND(M602*IFERROR(INDEX(Weights!$B$2:$B$4,MATCH(G602,Weights!$A$2:$A$4,0)),0)*IFERROR(INDEX(Weights!$B$7:$B$11,MATCH(E602,Weights!$A$7:$A$11,0)),0)*IFERROR(INDEX(Weights!$B$14:$B$17,MATCH(TEXT(J602,"0"),Weights!$A$14:$A$17,0)),0)/(1+N(N602)/50),1))</f>
        <v/>
      </c>
      <c r="Q602" s="5" t="s">
        <v>42</v>
      </c>
    </row>
    <row r="603" customFormat="false" ht="15" hidden="false" customHeight="false" outlineLevel="0" collapsed="false">
      <c r="A603" s="5" t="n">
        <v>602</v>
      </c>
      <c r="B603" s="5" t="s">
        <v>747</v>
      </c>
      <c r="C603" s="5" t="s">
        <v>47</v>
      </c>
      <c r="D603" s="5" t="s">
        <v>36</v>
      </c>
      <c r="E603" s="5" t="s">
        <v>656</v>
      </c>
      <c r="F603" s="5" t="s">
        <v>739</v>
      </c>
      <c r="G603" s="5" t="s">
        <v>39</v>
      </c>
      <c r="H603" s="5" t="s">
        <v>40</v>
      </c>
      <c r="I603" s="5" t="s">
        <v>658</v>
      </c>
      <c r="J603" s="5" t="n">
        <v>3</v>
      </c>
      <c r="K603" s="5"/>
      <c r="L603" s="6"/>
      <c r="M603" s="6"/>
      <c r="N603" s="6"/>
      <c r="O603" s="6"/>
      <c r="P603" s="5" t="str">
        <f aca="false">IF(M603="","",ROUND(M603*IFERROR(INDEX(Weights!$B$2:$B$4,MATCH(G603,Weights!$A$2:$A$4,0)),0)*IFERROR(INDEX(Weights!$B$7:$B$11,MATCH(E603,Weights!$A$7:$A$11,0)),0)*IFERROR(INDEX(Weights!$B$14:$B$17,MATCH(TEXT(J603,"0"),Weights!$A$14:$A$17,0)),0)/(1+N(N603)/50),1))</f>
        <v/>
      </c>
      <c r="Q603" s="5" t="s">
        <v>42</v>
      </c>
    </row>
    <row r="604" customFormat="false" ht="15" hidden="false" customHeight="false" outlineLevel="0" collapsed="false">
      <c r="A604" s="5" t="n">
        <v>603</v>
      </c>
      <c r="B604" s="5" t="s">
        <v>748</v>
      </c>
      <c r="C604" s="5" t="s">
        <v>47</v>
      </c>
      <c r="D604" s="5" t="s">
        <v>36</v>
      </c>
      <c r="E604" s="5" t="s">
        <v>656</v>
      </c>
      <c r="F604" s="5" t="s">
        <v>739</v>
      </c>
      <c r="G604" s="5" t="s">
        <v>39</v>
      </c>
      <c r="H604" s="5" t="s">
        <v>40</v>
      </c>
      <c r="I604" s="5" t="s">
        <v>658</v>
      </c>
      <c r="J604" s="5" t="n">
        <v>3</v>
      </c>
      <c r="K604" s="5"/>
      <c r="L604" s="6"/>
      <c r="M604" s="6"/>
      <c r="N604" s="6"/>
      <c r="O604" s="6"/>
      <c r="P604" s="5" t="str">
        <f aca="false">IF(M604="","",ROUND(M604*IFERROR(INDEX(Weights!$B$2:$B$4,MATCH(G604,Weights!$A$2:$A$4,0)),0)*IFERROR(INDEX(Weights!$B$7:$B$11,MATCH(E604,Weights!$A$7:$A$11,0)),0)*IFERROR(INDEX(Weights!$B$14:$B$17,MATCH(TEXT(J604,"0"),Weights!$A$14:$A$17,0)),0)/(1+N(N604)/50),1))</f>
        <v/>
      </c>
      <c r="Q604" s="5" t="s">
        <v>42</v>
      </c>
    </row>
    <row r="605" customFormat="false" ht="15" hidden="false" customHeight="false" outlineLevel="0" collapsed="false">
      <c r="A605" s="5" t="n">
        <v>604</v>
      </c>
      <c r="B605" s="5" t="s">
        <v>749</v>
      </c>
      <c r="C605" s="5" t="s">
        <v>51</v>
      </c>
      <c r="D605" s="5" t="s">
        <v>36</v>
      </c>
      <c r="E605" s="5" t="s">
        <v>656</v>
      </c>
      <c r="F605" s="5" t="s">
        <v>739</v>
      </c>
      <c r="G605" s="5" t="s">
        <v>39</v>
      </c>
      <c r="H605" s="5" t="s">
        <v>40</v>
      </c>
      <c r="I605" s="5" t="s">
        <v>658</v>
      </c>
      <c r="J605" s="5" t="n">
        <v>3</v>
      </c>
      <c r="K605" s="5"/>
      <c r="L605" s="6"/>
      <c r="M605" s="6"/>
      <c r="N605" s="6"/>
      <c r="O605" s="6"/>
      <c r="P605" s="5" t="str">
        <f aca="false">IF(M605="","",ROUND(M605*IFERROR(INDEX(Weights!$B$2:$B$4,MATCH(G605,Weights!$A$2:$A$4,0)),0)*IFERROR(INDEX(Weights!$B$7:$B$11,MATCH(E605,Weights!$A$7:$A$11,0)),0)*IFERROR(INDEX(Weights!$B$14:$B$17,MATCH(TEXT(J605,"0"),Weights!$A$14:$A$17,0)),0)/(1+N(N605)/50),1))</f>
        <v/>
      </c>
      <c r="Q605" s="5" t="s">
        <v>42</v>
      </c>
    </row>
    <row r="606" customFormat="false" ht="15" hidden="false" customHeight="false" outlineLevel="0" collapsed="false">
      <c r="A606" s="5" t="n">
        <v>605</v>
      </c>
      <c r="B606" s="5" t="s">
        <v>750</v>
      </c>
      <c r="C606" s="5" t="s">
        <v>51</v>
      </c>
      <c r="D606" s="5" t="s">
        <v>36</v>
      </c>
      <c r="E606" s="5" t="s">
        <v>656</v>
      </c>
      <c r="F606" s="5" t="s">
        <v>739</v>
      </c>
      <c r="G606" s="5" t="s">
        <v>39</v>
      </c>
      <c r="H606" s="5" t="s">
        <v>40</v>
      </c>
      <c r="I606" s="5" t="s">
        <v>658</v>
      </c>
      <c r="J606" s="5" t="n">
        <v>3</v>
      </c>
      <c r="K606" s="5"/>
      <c r="L606" s="6"/>
      <c r="M606" s="6"/>
      <c r="N606" s="6"/>
      <c r="O606" s="6"/>
      <c r="P606" s="5" t="str">
        <f aca="false">IF(M606="","",ROUND(M606*IFERROR(INDEX(Weights!$B$2:$B$4,MATCH(G606,Weights!$A$2:$A$4,0)),0)*IFERROR(INDEX(Weights!$B$7:$B$11,MATCH(E606,Weights!$A$7:$A$11,0)),0)*IFERROR(INDEX(Weights!$B$14:$B$17,MATCH(TEXT(J606,"0"),Weights!$A$14:$A$17,0)),0)/(1+N(N606)/50),1))</f>
        <v/>
      </c>
      <c r="Q606" s="5" t="s">
        <v>42</v>
      </c>
    </row>
    <row r="607" customFormat="false" ht="15" hidden="false" customHeight="false" outlineLevel="0" collapsed="false">
      <c r="A607" s="5" t="n">
        <v>606</v>
      </c>
      <c r="B607" s="5" t="s">
        <v>751</v>
      </c>
      <c r="C607" s="5" t="s">
        <v>54</v>
      </c>
      <c r="D607" s="5" t="s">
        <v>36</v>
      </c>
      <c r="E607" s="5" t="s">
        <v>656</v>
      </c>
      <c r="F607" s="5" t="s">
        <v>739</v>
      </c>
      <c r="G607" s="5" t="s">
        <v>39</v>
      </c>
      <c r="H607" s="5" t="s">
        <v>40</v>
      </c>
      <c r="I607" s="5" t="s">
        <v>658</v>
      </c>
      <c r="J607" s="5" t="n">
        <v>3</v>
      </c>
      <c r="K607" s="5"/>
      <c r="L607" s="6"/>
      <c r="M607" s="6"/>
      <c r="N607" s="6"/>
      <c r="O607" s="6"/>
      <c r="P607" s="5" t="str">
        <f aca="false">IF(M607="","",ROUND(M607*IFERROR(INDEX(Weights!$B$2:$B$4,MATCH(G607,Weights!$A$2:$A$4,0)),0)*IFERROR(INDEX(Weights!$B$7:$B$11,MATCH(E607,Weights!$A$7:$A$11,0)),0)*IFERROR(INDEX(Weights!$B$14:$B$17,MATCH(TEXT(J607,"0"),Weights!$A$14:$A$17,0)),0)/(1+N(N607)/50),1))</f>
        <v/>
      </c>
      <c r="Q607" s="5" t="s">
        <v>42</v>
      </c>
    </row>
    <row r="608" customFormat="false" ht="15" hidden="false" customHeight="false" outlineLevel="0" collapsed="false">
      <c r="A608" s="5" t="n">
        <v>607</v>
      </c>
      <c r="B608" s="5" t="s">
        <v>752</v>
      </c>
      <c r="C608" s="5" t="s">
        <v>54</v>
      </c>
      <c r="D608" s="5" t="s">
        <v>36</v>
      </c>
      <c r="E608" s="5" t="s">
        <v>656</v>
      </c>
      <c r="F608" s="5" t="s">
        <v>739</v>
      </c>
      <c r="G608" s="5" t="s">
        <v>39</v>
      </c>
      <c r="H608" s="5" t="s">
        <v>40</v>
      </c>
      <c r="I608" s="5" t="s">
        <v>658</v>
      </c>
      <c r="J608" s="5" t="n">
        <v>3</v>
      </c>
      <c r="K608" s="5"/>
      <c r="L608" s="6"/>
      <c r="M608" s="6"/>
      <c r="N608" s="6"/>
      <c r="O608" s="6"/>
      <c r="P608" s="5" t="str">
        <f aca="false">IF(M608="","",ROUND(M608*IFERROR(INDEX(Weights!$B$2:$B$4,MATCH(G608,Weights!$A$2:$A$4,0)),0)*IFERROR(INDEX(Weights!$B$7:$B$11,MATCH(E608,Weights!$A$7:$A$11,0)),0)*IFERROR(INDEX(Weights!$B$14:$B$17,MATCH(TEXT(J608,"0"),Weights!$A$14:$A$17,0)),0)/(1+N(N608)/50),1))</f>
        <v/>
      </c>
      <c r="Q608" s="5" t="s">
        <v>42</v>
      </c>
    </row>
    <row r="609" customFormat="false" ht="15" hidden="false" customHeight="false" outlineLevel="0" collapsed="false">
      <c r="A609" s="5" t="n">
        <v>608</v>
      </c>
      <c r="B609" s="5" t="s">
        <v>753</v>
      </c>
      <c r="C609" s="5" t="s">
        <v>57</v>
      </c>
      <c r="D609" s="5" t="s">
        <v>36</v>
      </c>
      <c r="E609" s="5" t="s">
        <v>656</v>
      </c>
      <c r="F609" s="5" t="s">
        <v>739</v>
      </c>
      <c r="G609" s="5" t="s">
        <v>39</v>
      </c>
      <c r="H609" s="5" t="s">
        <v>40</v>
      </c>
      <c r="I609" s="5" t="s">
        <v>658</v>
      </c>
      <c r="J609" s="5" t="n">
        <v>3</v>
      </c>
      <c r="K609" s="5"/>
      <c r="L609" s="6"/>
      <c r="M609" s="6"/>
      <c r="N609" s="6"/>
      <c r="O609" s="6"/>
      <c r="P609" s="5" t="str">
        <f aca="false">IF(M609="","",ROUND(M609*IFERROR(INDEX(Weights!$B$2:$B$4,MATCH(G609,Weights!$A$2:$A$4,0)),0)*IFERROR(INDEX(Weights!$B$7:$B$11,MATCH(E609,Weights!$A$7:$A$11,0)),0)*IFERROR(INDEX(Weights!$B$14:$B$17,MATCH(TEXT(J609,"0"),Weights!$A$14:$A$17,0)),0)/(1+N(N609)/50),1))</f>
        <v/>
      </c>
      <c r="Q609" s="5" t="s">
        <v>42</v>
      </c>
    </row>
    <row r="610" customFormat="false" ht="15" hidden="false" customHeight="false" outlineLevel="0" collapsed="false">
      <c r="A610" s="5" t="n">
        <v>609</v>
      </c>
      <c r="B610" s="5" t="s">
        <v>754</v>
      </c>
      <c r="C610" s="5" t="s">
        <v>57</v>
      </c>
      <c r="D610" s="5" t="s">
        <v>36</v>
      </c>
      <c r="E610" s="5" t="s">
        <v>656</v>
      </c>
      <c r="F610" s="5" t="s">
        <v>739</v>
      </c>
      <c r="G610" s="5" t="s">
        <v>39</v>
      </c>
      <c r="H610" s="5" t="s">
        <v>40</v>
      </c>
      <c r="I610" s="5" t="s">
        <v>658</v>
      </c>
      <c r="J610" s="5" t="n">
        <v>3</v>
      </c>
      <c r="K610" s="5"/>
      <c r="L610" s="6"/>
      <c r="M610" s="6"/>
      <c r="N610" s="6"/>
      <c r="O610" s="6"/>
      <c r="P610" s="5" t="str">
        <f aca="false">IF(M610="","",ROUND(M610*IFERROR(INDEX(Weights!$B$2:$B$4,MATCH(G610,Weights!$A$2:$A$4,0)),0)*IFERROR(INDEX(Weights!$B$7:$B$11,MATCH(E610,Weights!$A$7:$A$11,0)),0)*IFERROR(INDEX(Weights!$B$14:$B$17,MATCH(TEXT(J610,"0"),Weights!$A$14:$A$17,0)),0)/(1+N(N610)/50),1))</f>
        <v/>
      </c>
      <c r="Q610" s="5" t="s">
        <v>42</v>
      </c>
    </row>
    <row r="611" customFormat="false" ht="15" hidden="false" customHeight="false" outlineLevel="0" collapsed="false">
      <c r="A611" s="5" t="n">
        <v>610</v>
      </c>
      <c r="B611" s="5" t="s">
        <v>755</v>
      </c>
      <c r="C611" s="5" t="s">
        <v>57</v>
      </c>
      <c r="D611" s="5" t="s">
        <v>36</v>
      </c>
      <c r="E611" s="5" t="s">
        <v>656</v>
      </c>
      <c r="F611" s="5" t="s">
        <v>739</v>
      </c>
      <c r="G611" s="5" t="s">
        <v>39</v>
      </c>
      <c r="H611" s="5" t="s">
        <v>40</v>
      </c>
      <c r="I611" s="5" t="s">
        <v>658</v>
      </c>
      <c r="J611" s="5" t="n">
        <v>3</v>
      </c>
      <c r="K611" s="5"/>
      <c r="L611" s="6"/>
      <c r="M611" s="6"/>
      <c r="N611" s="6"/>
      <c r="O611" s="6"/>
      <c r="P611" s="5" t="str">
        <f aca="false">IF(M611="","",ROUND(M611*IFERROR(INDEX(Weights!$B$2:$B$4,MATCH(G611,Weights!$A$2:$A$4,0)),0)*IFERROR(INDEX(Weights!$B$7:$B$11,MATCH(E611,Weights!$A$7:$A$11,0)),0)*IFERROR(INDEX(Weights!$B$14:$B$17,MATCH(TEXT(J611,"0"),Weights!$A$14:$A$17,0)),0)/(1+N(N611)/50),1))</f>
        <v/>
      </c>
      <c r="Q611" s="5" t="s">
        <v>42</v>
      </c>
    </row>
    <row r="612" customFormat="false" ht="15" hidden="false" customHeight="false" outlineLevel="0" collapsed="false">
      <c r="A612" s="5" t="n">
        <v>611</v>
      </c>
      <c r="B612" s="5" t="s">
        <v>756</v>
      </c>
      <c r="C612" s="5" t="s">
        <v>456</v>
      </c>
      <c r="D612" s="5" t="s">
        <v>36</v>
      </c>
      <c r="E612" s="5" t="s">
        <v>656</v>
      </c>
      <c r="F612" s="5" t="s">
        <v>739</v>
      </c>
      <c r="G612" s="5" t="s">
        <v>39</v>
      </c>
      <c r="H612" s="5" t="s">
        <v>40</v>
      </c>
      <c r="I612" s="5" t="s">
        <v>658</v>
      </c>
      <c r="J612" s="5" t="n">
        <v>3</v>
      </c>
      <c r="K612" s="5"/>
      <c r="L612" s="6"/>
      <c r="M612" s="6"/>
      <c r="N612" s="6"/>
      <c r="O612" s="6"/>
      <c r="P612" s="5" t="str">
        <f aca="false">IF(M612="","",ROUND(M612*IFERROR(INDEX(Weights!$B$2:$B$4,MATCH(G612,Weights!$A$2:$A$4,0)),0)*IFERROR(INDEX(Weights!$B$7:$B$11,MATCH(E612,Weights!$A$7:$A$11,0)),0)*IFERROR(INDEX(Weights!$B$14:$B$17,MATCH(TEXT(J612,"0"),Weights!$A$14:$A$17,0)),0)/(1+N(N612)/50),1))</f>
        <v/>
      </c>
      <c r="Q612" s="5" t="s">
        <v>42</v>
      </c>
    </row>
    <row r="613" customFormat="false" ht="15" hidden="false" customHeight="false" outlineLevel="0" collapsed="false">
      <c r="A613" s="5" t="n">
        <v>612</v>
      </c>
      <c r="B613" s="5" t="s">
        <v>757</v>
      </c>
      <c r="C613" s="5" t="s">
        <v>464</v>
      </c>
      <c r="D613" s="5" t="s">
        <v>36</v>
      </c>
      <c r="E613" s="5" t="s">
        <v>656</v>
      </c>
      <c r="F613" s="5" t="s">
        <v>739</v>
      </c>
      <c r="G613" s="5" t="s">
        <v>39</v>
      </c>
      <c r="H613" s="5" t="s">
        <v>40</v>
      </c>
      <c r="I613" s="5" t="s">
        <v>658</v>
      </c>
      <c r="J613" s="5" t="n">
        <v>3</v>
      </c>
      <c r="K613" s="5"/>
      <c r="L613" s="6"/>
      <c r="M613" s="6"/>
      <c r="N613" s="6"/>
      <c r="O613" s="6"/>
      <c r="P613" s="5" t="str">
        <f aca="false">IF(M613="","",ROUND(M613*IFERROR(INDEX(Weights!$B$2:$B$4,MATCH(G613,Weights!$A$2:$A$4,0)),0)*IFERROR(INDEX(Weights!$B$7:$B$11,MATCH(E613,Weights!$A$7:$A$11,0)),0)*IFERROR(INDEX(Weights!$B$14:$B$17,MATCH(TEXT(J613,"0"),Weights!$A$14:$A$17,0)),0)/(1+N(N613)/50),1))</f>
        <v/>
      </c>
      <c r="Q613" s="5" t="s">
        <v>42</v>
      </c>
    </row>
    <row r="614" customFormat="false" ht="15" hidden="false" customHeight="false" outlineLevel="0" collapsed="false">
      <c r="A614" s="5" t="n">
        <v>613</v>
      </c>
      <c r="B614" s="5" t="s">
        <v>758</v>
      </c>
      <c r="C614" s="5" t="s">
        <v>464</v>
      </c>
      <c r="D614" s="5" t="s">
        <v>36</v>
      </c>
      <c r="E614" s="5" t="s">
        <v>656</v>
      </c>
      <c r="F614" s="5" t="s">
        <v>739</v>
      </c>
      <c r="G614" s="5" t="s">
        <v>39</v>
      </c>
      <c r="H614" s="5" t="s">
        <v>40</v>
      </c>
      <c r="I614" s="5" t="s">
        <v>658</v>
      </c>
      <c r="J614" s="5" t="n">
        <v>3</v>
      </c>
      <c r="K614" s="5"/>
      <c r="L614" s="6"/>
      <c r="M614" s="6"/>
      <c r="N614" s="6"/>
      <c r="O614" s="6"/>
      <c r="P614" s="5" t="str">
        <f aca="false">IF(M614="","",ROUND(M614*IFERROR(INDEX(Weights!$B$2:$B$4,MATCH(G614,Weights!$A$2:$A$4,0)),0)*IFERROR(INDEX(Weights!$B$7:$B$11,MATCH(E614,Weights!$A$7:$A$11,0)),0)*IFERROR(INDEX(Weights!$B$14:$B$17,MATCH(TEXT(J614,"0"),Weights!$A$14:$A$17,0)),0)/(1+N(N614)/50),1))</f>
        <v/>
      </c>
      <c r="Q614" s="5" t="s">
        <v>42</v>
      </c>
    </row>
    <row r="615" customFormat="false" ht="15" hidden="false" customHeight="false" outlineLevel="0" collapsed="false">
      <c r="A615" s="5" t="n">
        <v>614</v>
      </c>
      <c r="B615" s="5" t="s">
        <v>759</v>
      </c>
      <c r="C615" s="5" t="s">
        <v>64</v>
      </c>
      <c r="D615" s="5" t="s">
        <v>36</v>
      </c>
      <c r="E615" s="5" t="s">
        <v>656</v>
      </c>
      <c r="F615" s="5" t="s">
        <v>739</v>
      </c>
      <c r="G615" s="5" t="s">
        <v>39</v>
      </c>
      <c r="H615" s="5" t="s">
        <v>40</v>
      </c>
      <c r="I615" s="5" t="s">
        <v>658</v>
      </c>
      <c r="J615" s="5" t="n">
        <v>3</v>
      </c>
      <c r="K615" s="5"/>
      <c r="L615" s="6"/>
      <c r="M615" s="6"/>
      <c r="N615" s="6"/>
      <c r="O615" s="6"/>
      <c r="P615" s="5" t="str">
        <f aca="false">IF(M615="","",ROUND(M615*IFERROR(INDEX(Weights!$B$2:$B$4,MATCH(G615,Weights!$A$2:$A$4,0)),0)*IFERROR(INDEX(Weights!$B$7:$B$11,MATCH(E615,Weights!$A$7:$A$11,0)),0)*IFERROR(INDEX(Weights!$B$14:$B$17,MATCH(TEXT(J615,"0"),Weights!$A$14:$A$17,0)),0)/(1+N(N615)/50),1))</f>
        <v/>
      </c>
      <c r="Q615" s="5" t="s">
        <v>42</v>
      </c>
    </row>
    <row r="616" customFormat="false" ht="15" hidden="false" customHeight="false" outlineLevel="0" collapsed="false">
      <c r="A616" s="5" t="n">
        <v>615</v>
      </c>
      <c r="B616" s="5" t="s">
        <v>760</v>
      </c>
      <c r="C616" s="5" t="s">
        <v>64</v>
      </c>
      <c r="D616" s="5" t="s">
        <v>36</v>
      </c>
      <c r="E616" s="5" t="s">
        <v>656</v>
      </c>
      <c r="F616" s="5" t="s">
        <v>739</v>
      </c>
      <c r="G616" s="5" t="s">
        <v>39</v>
      </c>
      <c r="H616" s="5" t="s">
        <v>40</v>
      </c>
      <c r="I616" s="5" t="s">
        <v>658</v>
      </c>
      <c r="J616" s="5" t="n">
        <v>3</v>
      </c>
      <c r="K616" s="5"/>
      <c r="L616" s="6"/>
      <c r="M616" s="6"/>
      <c r="N616" s="6"/>
      <c r="O616" s="6"/>
      <c r="P616" s="5" t="str">
        <f aca="false">IF(M616="","",ROUND(M616*IFERROR(INDEX(Weights!$B$2:$B$4,MATCH(G616,Weights!$A$2:$A$4,0)),0)*IFERROR(INDEX(Weights!$B$7:$B$11,MATCH(E616,Weights!$A$7:$A$11,0)),0)*IFERROR(INDEX(Weights!$B$14:$B$17,MATCH(TEXT(J616,"0"),Weights!$A$14:$A$17,0)),0)/(1+N(N616)/50),1))</f>
        <v/>
      </c>
      <c r="Q616" s="5" t="s">
        <v>42</v>
      </c>
    </row>
    <row r="617" customFormat="false" ht="15" hidden="false" customHeight="false" outlineLevel="0" collapsed="false">
      <c r="A617" s="5" t="n">
        <v>616</v>
      </c>
      <c r="B617" s="5" t="s">
        <v>761</v>
      </c>
      <c r="C617" s="5" t="s">
        <v>64</v>
      </c>
      <c r="D617" s="5" t="s">
        <v>36</v>
      </c>
      <c r="E617" s="5" t="s">
        <v>656</v>
      </c>
      <c r="F617" s="5" t="s">
        <v>739</v>
      </c>
      <c r="G617" s="5" t="s">
        <v>39</v>
      </c>
      <c r="H617" s="5" t="s">
        <v>40</v>
      </c>
      <c r="I617" s="5" t="s">
        <v>658</v>
      </c>
      <c r="J617" s="5" t="n">
        <v>3</v>
      </c>
      <c r="K617" s="5"/>
      <c r="L617" s="6"/>
      <c r="M617" s="6"/>
      <c r="N617" s="6"/>
      <c r="O617" s="6"/>
      <c r="P617" s="5" t="str">
        <f aca="false">IF(M617="","",ROUND(M617*IFERROR(INDEX(Weights!$B$2:$B$4,MATCH(G617,Weights!$A$2:$A$4,0)),0)*IFERROR(INDEX(Weights!$B$7:$B$11,MATCH(E617,Weights!$A$7:$A$11,0)),0)*IFERROR(INDEX(Weights!$B$14:$B$17,MATCH(TEXT(J617,"0"),Weights!$A$14:$A$17,0)),0)/(1+N(N617)/50),1))</f>
        <v/>
      </c>
      <c r="Q617" s="5" t="s">
        <v>42</v>
      </c>
    </row>
    <row r="618" customFormat="false" ht="15" hidden="false" customHeight="false" outlineLevel="0" collapsed="false">
      <c r="A618" s="5" t="n">
        <v>617</v>
      </c>
      <c r="B618" s="5" t="s">
        <v>762</v>
      </c>
      <c r="C618" s="5" t="s">
        <v>66</v>
      </c>
      <c r="D618" s="5" t="s">
        <v>36</v>
      </c>
      <c r="E618" s="5" t="s">
        <v>656</v>
      </c>
      <c r="F618" s="5" t="s">
        <v>739</v>
      </c>
      <c r="G618" s="5" t="s">
        <v>39</v>
      </c>
      <c r="H618" s="5" t="s">
        <v>40</v>
      </c>
      <c r="I618" s="5" t="s">
        <v>658</v>
      </c>
      <c r="J618" s="5" t="n">
        <v>3</v>
      </c>
      <c r="K618" s="5"/>
      <c r="L618" s="6"/>
      <c r="M618" s="6"/>
      <c r="N618" s="6"/>
      <c r="O618" s="6"/>
      <c r="P618" s="5" t="str">
        <f aca="false">IF(M618="","",ROUND(M618*IFERROR(INDEX(Weights!$B$2:$B$4,MATCH(G618,Weights!$A$2:$A$4,0)),0)*IFERROR(INDEX(Weights!$B$7:$B$11,MATCH(E618,Weights!$A$7:$A$11,0)),0)*IFERROR(INDEX(Weights!$B$14:$B$17,MATCH(TEXT(J618,"0"),Weights!$A$14:$A$17,0)),0)/(1+N(N618)/50),1))</f>
        <v/>
      </c>
      <c r="Q618" s="5" t="s">
        <v>42</v>
      </c>
    </row>
    <row r="619" customFormat="false" ht="15" hidden="false" customHeight="false" outlineLevel="0" collapsed="false">
      <c r="A619" s="5" t="n">
        <v>618</v>
      </c>
      <c r="B619" s="5" t="s">
        <v>763</v>
      </c>
      <c r="C619" s="5" t="s">
        <v>61</v>
      </c>
      <c r="D619" s="5" t="s">
        <v>36</v>
      </c>
      <c r="E619" s="5" t="s">
        <v>656</v>
      </c>
      <c r="F619" s="5" t="s">
        <v>739</v>
      </c>
      <c r="G619" s="5" t="s">
        <v>39</v>
      </c>
      <c r="H619" s="5" t="s">
        <v>40</v>
      </c>
      <c r="I619" s="5" t="s">
        <v>658</v>
      </c>
      <c r="J619" s="5" t="n">
        <v>3</v>
      </c>
      <c r="K619" s="5"/>
      <c r="L619" s="6"/>
      <c r="M619" s="6"/>
      <c r="N619" s="6"/>
      <c r="O619" s="6"/>
      <c r="P619" s="5" t="str">
        <f aca="false">IF(M619="","",ROUND(M619*IFERROR(INDEX(Weights!$B$2:$B$4,MATCH(G619,Weights!$A$2:$A$4,0)),0)*IFERROR(INDEX(Weights!$B$7:$B$11,MATCH(E619,Weights!$A$7:$A$11,0)),0)*IFERROR(INDEX(Weights!$B$14:$B$17,MATCH(TEXT(J619,"0"),Weights!$A$14:$A$17,0)),0)/(1+N(N619)/50),1))</f>
        <v/>
      </c>
      <c r="Q619" s="5" t="s">
        <v>42</v>
      </c>
    </row>
    <row r="620" customFormat="false" ht="15" hidden="false" customHeight="false" outlineLevel="0" collapsed="false">
      <c r="A620" s="5" t="n">
        <v>619</v>
      </c>
      <c r="B620" s="5" t="s">
        <v>764</v>
      </c>
      <c r="C620" s="5" t="s">
        <v>69</v>
      </c>
      <c r="D620" s="5" t="s">
        <v>36</v>
      </c>
      <c r="E620" s="5" t="s">
        <v>656</v>
      </c>
      <c r="F620" s="5" t="s">
        <v>739</v>
      </c>
      <c r="G620" s="5" t="s">
        <v>39</v>
      </c>
      <c r="H620" s="5" t="s">
        <v>40</v>
      </c>
      <c r="I620" s="5" t="s">
        <v>658</v>
      </c>
      <c r="J620" s="5" t="n">
        <v>3</v>
      </c>
      <c r="K620" s="5"/>
      <c r="L620" s="6"/>
      <c r="M620" s="6"/>
      <c r="N620" s="6"/>
      <c r="O620" s="6"/>
      <c r="P620" s="5" t="str">
        <f aca="false">IF(M620="","",ROUND(M620*IFERROR(INDEX(Weights!$B$2:$B$4,MATCH(G620,Weights!$A$2:$A$4,0)),0)*IFERROR(INDEX(Weights!$B$7:$B$11,MATCH(E620,Weights!$A$7:$A$11,0)),0)*IFERROR(INDEX(Weights!$B$14:$B$17,MATCH(TEXT(J620,"0"),Weights!$A$14:$A$17,0)),0)/(1+N(N620)/50),1))</f>
        <v/>
      </c>
      <c r="Q620" s="5" t="s">
        <v>42</v>
      </c>
    </row>
    <row r="621" customFormat="false" ht="15" hidden="false" customHeight="false" outlineLevel="0" collapsed="false">
      <c r="A621" s="5" t="n">
        <v>620</v>
      </c>
      <c r="B621" s="5" t="s">
        <v>765</v>
      </c>
      <c r="C621" s="5" t="s">
        <v>35</v>
      </c>
      <c r="D621" s="5" t="s">
        <v>766</v>
      </c>
      <c r="E621" s="5" t="s">
        <v>656</v>
      </c>
      <c r="F621" s="5" t="s">
        <v>767</v>
      </c>
      <c r="G621" s="5" t="s">
        <v>39</v>
      </c>
      <c r="H621" s="5" t="s">
        <v>40</v>
      </c>
      <c r="I621" s="5" t="s">
        <v>658</v>
      </c>
      <c r="J621" s="5" t="n">
        <v>1</v>
      </c>
      <c r="K621" s="5"/>
      <c r="L621" s="6"/>
      <c r="M621" s="6"/>
      <c r="N621" s="6"/>
      <c r="O621" s="6"/>
      <c r="P621" s="5" t="str">
        <f aca="false">IF(M621="","",ROUND(M621*IFERROR(INDEX(Weights!$B$2:$B$4,MATCH(G621,Weights!$A$2:$A$4,0)),0)*IFERROR(INDEX(Weights!$B$7:$B$11,MATCH(E621,Weights!$A$7:$A$11,0)),0)*IFERROR(INDEX(Weights!$B$14:$B$17,MATCH(TEXT(J621,"0"),Weights!$A$14:$A$17,0)),0)/(1+N(N621)/50),1))</f>
        <v/>
      </c>
      <c r="Q621" s="5" t="s">
        <v>42</v>
      </c>
    </row>
    <row r="622" customFormat="false" ht="15" hidden="false" customHeight="false" outlineLevel="0" collapsed="false">
      <c r="A622" s="5" t="n">
        <v>621</v>
      </c>
      <c r="B622" s="5" t="s">
        <v>768</v>
      </c>
      <c r="C622" s="5" t="s">
        <v>35</v>
      </c>
      <c r="D622" s="5" t="s">
        <v>766</v>
      </c>
      <c r="E622" s="5" t="s">
        <v>656</v>
      </c>
      <c r="F622" s="5" t="s">
        <v>767</v>
      </c>
      <c r="G622" s="5" t="s">
        <v>39</v>
      </c>
      <c r="H622" s="5" t="s">
        <v>40</v>
      </c>
      <c r="I622" s="5" t="s">
        <v>658</v>
      </c>
      <c r="J622" s="5" t="n">
        <v>1</v>
      </c>
      <c r="K622" s="5"/>
      <c r="L622" s="6"/>
      <c r="M622" s="6"/>
      <c r="N622" s="6"/>
      <c r="O622" s="6"/>
      <c r="P622" s="5" t="str">
        <f aca="false">IF(M622="","",ROUND(M622*IFERROR(INDEX(Weights!$B$2:$B$4,MATCH(G622,Weights!$A$2:$A$4,0)),0)*IFERROR(INDEX(Weights!$B$7:$B$11,MATCH(E622,Weights!$A$7:$A$11,0)),0)*IFERROR(INDEX(Weights!$B$14:$B$17,MATCH(TEXT(J622,"0"),Weights!$A$14:$A$17,0)),0)/(1+N(N622)/50),1))</f>
        <v/>
      </c>
      <c r="Q622" s="5" t="s">
        <v>42</v>
      </c>
    </row>
    <row r="623" customFormat="false" ht="15" hidden="false" customHeight="false" outlineLevel="0" collapsed="false">
      <c r="A623" s="5" t="n">
        <v>622</v>
      </c>
      <c r="B623" s="5" t="s">
        <v>769</v>
      </c>
      <c r="C623" s="5" t="s">
        <v>35</v>
      </c>
      <c r="D623" s="5" t="s">
        <v>766</v>
      </c>
      <c r="E623" s="5" t="s">
        <v>656</v>
      </c>
      <c r="F623" s="5" t="s">
        <v>767</v>
      </c>
      <c r="G623" s="5" t="s">
        <v>39</v>
      </c>
      <c r="H623" s="5" t="s">
        <v>40</v>
      </c>
      <c r="I623" s="5" t="s">
        <v>658</v>
      </c>
      <c r="J623" s="5" t="n">
        <v>1</v>
      </c>
      <c r="K623" s="5"/>
      <c r="L623" s="6"/>
      <c r="M623" s="6"/>
      <c r="N623" s="6"/>
      <c r="O623" s="6"/>
      <c r="P623" s="5" t="str">
        <f aca="false">IF(M623="","",ROUND(M623*IFERROR(INDEX(Weights!$B$2:$B$4,MATCH(G623,Weights!$A$2:$A$4,0)),0)*IFERROR(INDEX(Weights!$B$7:$B$11,MATCH(E623,Weights!$A$7:$A$11,0)),0)*IFERROR(INDEX(Weights!$B$14:$B$17,MATCH(TEXT(J623,"0"),Weights!$A$14:$A$17,0)),0)/(1+N(N623)/50),1))</f>
        <v/>
      </c>
      <c r="Q623" s="5" t="s">
        <v>42</v>
      </c>
    </row>
    <row r="624" customFormat="false" ht="15" hidden="false" customHeight="false" outlineLevel="0" collapsed="false">
      <c r="A624" s="5" t="n">
        <v>623</v>
      </c>
      <c r="B624" s="5" t="s">
        <v>770</v>
      </c>
      <c r="C624" s="5" t="s">
        <v>35</v>
      </c>
      <c r="D624" s="5" t="s">
        <v>766</v>
      </c>
      <c r="E624" s="5" t="s">
        <v>656</v>
      </c>
      <c r="F624" s="5" t="s">
        <v>767</v>
      </c>
      <c r="G624" s="5" t="s">
        <v>39</v>
      </c>
      <c r="H624" s="5" t="s">
        <v>40</v>
      </c>
      <c r="I624" s="5" t="s">
        <v>658</v>
      </c>
      <c r="J624" s="5" t="n">
        <v>1</v>
      </c>
      <c r="K624" s="5"/>
      <c r="L624" s="6"/>
      <c r="M624" s="6"/>
      <c r="N624" s="6"/>
      <c r="O624" s="6"/>
      <c r="P624" s="5" t="str">
        <f aca="false">IF(M624="","",ROUND(M624*IFERROR(INDEX(Weights!$B$2:$B$4,MATCH(G624,Weights!$A$2:$A$4,0)),0)*IFERROR(INDEX(Weights!$B$7:$B$11,MATCH(E624,Weights!$A$7:$A$11,0)),0)*IFERROR(INDEX(Weights!$B$14:$B$17,MATCH(TEXT(J624,"0"),Weights!$A$14:$A$17,0)),0)/(1+N(N624)/50),1))</f>
        <v/>
      </c>
      <c r="Q624" s="5" t="s">
        <v>42</v>
      </c>
    </row>
    <row r="625" customFormat="false" ht="15" hidden="false" customHeight="false" outlineLevel="0" collapsed="false">
      <c r="A625" s="5" t="n">
        <v>624</v>
      </c>
      <c r="B625" s="5" t="s">
        <v>771</v>
      </c>
      <c r="C625" s="5" t="s">
        <v>35</v>
      </c>
      <c r="D625" s="5" t="s">
        <v>766</v>
      </c>
      <c r="E625" s="5" t="s">
        <v>656</v>
      </c>
      <c r="F625" s="5" t="s">
        <v>767</v>
      </c>
      <c r="G625" s="5" t="s">
        <v>39</v>
      </c>
      <c r="H625" s="5" t="s">
        <v>40</v>
      </c>
      <c r="I625" s="5" t="s">
        <v>658</v>
      </c>
      <c r="J625" s="5" t="n">
        <v>1</v>
      </c>
      <c r="K625" s="5"/>
      <c r="L625" s="6"/>
      <c r="M625" s="6"/>
      <c r="N625" s="6"/>
      <c r="O625" s="6"/>
      <c r="P625" s="5" t="str">
        <f aca="false">IF(M625="","",ROUND(M625*IFERROR(INDEX(Weights!$B$2:$B$4,MATCH(G625,Weights!$A$2:$A$4,0)),0)*IFERROR(INDEX(Weights!$B$7:$B$11,MATCH(E625,Weights!$A$7:$A$11,0)),0)*IFERROR(INDEX(Weights!$B$14:$B$17,MATCH(TEXT(J625,"0"),Weights!$A$14:$A$17,0)),0)/(1+N(N625)/50),1))</f>
        <v/>
      </c>
      <c r="Q625" s="5" t="s">
        <v>42</v>
      </c>
    </row>
    <row r="626" customFormat="false" ht="15" hidden="false" customHeight="false" outlineLevel="0" collapsed="false">
      <c r="A626" s="5" t="n">
        <v>625</v>
      </c>
      <c r="B626" s="5" t="s">
        <v>772</v>
      </c>
      <c r="C626" s="5" t="s">
        <v>47</v>
      </c>
      <c r="D626" s="5" t="s">
        <v>766</v>
      </c>
      <c r="E626" s="5" t="s">
        <v>656</v>
      </c>
      <c r="F626" s="5" t="s">
        <v>767</v>
      </c>
      <c r="G626" s="5" t="s">
        <v>39</v>
      </c>
      <c r="H626" s="5" t="s">
        <v>40</v>
      </c>
      <c r="I626" s="5" t="s">
        <v>658</v>
      </c>
      <c r="J626" s="5" t="n">
        <v>1</v>
      </c>
      <c r="K626" s="5"/>
      <c r="L626" s="6"/>
      <c r="M626" s="6"/>
      <c r="N626" s="6"/>
      <c r="O626" s="6"/>
      <c r="P626" s="5" t="str">
        <f aca="false">IF(M626="","",ROUND(M626*IFERROR(INDEX(Weights!$B$2:$B$4,MATCH(G626,Weights!$A$2:$A$4,0)),0)*IFERROR(INDEX(Weights!$B$7:$B$11,MATCH(E626,Weights!$A$7:$A$11,0)),0)*IFERROR(INDEX(Weights!$B$14:$B$17,MATCH(TEXT(J626,"0"),Weights!$A$14:$A$17,0)),0)/(1+N(N626)/50),1))</f>
        <v/>
      </c>
      <c r="Q626" s="5" t="s">
        <v>42</v>
      </c>
    </row>
    <row r="627" customFormat="false" ht="15" hidden="false" customHeight="false" outlineLevel="0" collapsed="false">
      <c r="A627" s="5" t="n">
        <v>626</v>
      </c>
      <c r="B627" s="5" t="s">
        <v>773</v>
      </c>
      <c r="C627" s="5" t="s">
        <v>47</v>
      </c>
      <c r="D627" s="5" t="s">
        <v>766</v>
      </c>
      <c r="E627" s="5" t="s">
        <v>656</v>
      </c>
      <c r="F627" s="5" t="s">
        <v>767</v>
      </c>
      <c r="G627" s="5" t="s">
        <v>39</v>
      </c>
      <c r="H627" s="5" t="s">
        <v>40</v>
      </c>
      <c r="I627" s="5" t="s">
        <v>658</v>
      </c>
      <c r="J627" s="5" t="n">
        <v>1</v>
      </c>
      <c r="K627" s="5"/>
      <c r="L627" s="6"/>
      <c r="M627" s="6"/>
      <c r="N627" s="6"/>
      <c r="O627" s="6"/>
      <c r="P627" s="5" t="str">
        <f aca="false">IF(M627="","",ROUND(M627*IFERROR(INDEX(Weights!$B$2:$B$4,MATCH(G627,Weights!$A$2:$A$4,0)),0)*IFERROR(INDEX(Weights!$B$7:$B$11,MATCH(E627,Weights!$A$7:$A$11,0)),0)*IFERROR(INDEX(Weights!$B$14:$B$17,MATCH(TEXT(J627,"0"),Weights!$A$14:$A$17,0)),0)/(1+N(N627)/50),1))</f>
        <v/>
      </c>
      <c r="Q627" s="5" t="s">
        <v>42</v>
      </c>
    </row>
    <row r="628" customFormat="false" ht="15" hidden="false" customHeight="false" outlineLevel="0" collapsed="false">
      <c r="A628" s="5" t="n">
        <v>627</v>
      </c>
      <c r="B628" s="5" t="s">
        <v>774</v>
      </c>
      <c r="C628" s="5" t="s">
        <v>47</v>
      </c>
      <c r="D628" s="5" t="s">
        <v>766</v>
      </c>
      <c r="E628" s="5" t="s">
        <v>656</v>
      </c>
      <c r="F628" s="5" t="s">
        <v>767</v>
      </c>
      <c r="G628" s="5" t="s">
        <v>39</v>
      </c>
      <c r="H628" s="5" t="s">
        <v>40</v>
      </c>
      <c r="I628" s="5" t="s">
        <v>658</v>
      </c>
      <c r="J628" s="5" t="n">
        <v>1</v>
      </c>
      <c r="K628" s="5"/>
      <c r="L628" s="6"/>
      <c r="M628" s="6"/>
      <c r="N628" s="6"/>
      <c r="O628" s="6"/>
      <c r="P628" s="5" t="str">
        <f aca="false">IF(M628="","",ROUND(M628*IFERROR(INDEX(Weights!$B$2:$B$4,MATCH(G628,Weights!$A$2:$A$4,0)),0)*IFERROR(INDEX(Weights!$B$7:$B$11,MATCH(E628,Weights!$A$7:$A$11,0)),0)*IFERROR(INDEX(Weights!$B$14:$B$17,MATCH(TEXT(J628,"0"),Weights!$A$14:$A$17,0)),0)/(1+N(N628)/50),1))</f>
        <v/>
      </c>
      <c r="Q628" s="5" t="s">
        <v>42</v>
      </c>
    </row>
    <row r="629" customFormat="false" ht="15" hidden="false" customHeight="false" outlineLevel="0" collapsed="false">
      <c r="A629" s="5" t="n">
        <v>628</v>
      </c>
      <c r="B629" s="5" t="s">
        <v>775</v>
      </c>
      <c r="C629" s="5" t="s">
        <v>47</v>
      </c>
      <c r="D629" s="5" t="s">
        <v>766</v>
      </c>
      <c r="E629" s="5" t="s">
        <v>656</v>
      </c>
      <c r="F629" s="5" t="s">
        <v>767</v>
      </c>
      <c r="G629" s="5" t="s">
        <v>39</v>
      </c>
      <c r="H629" s="5" t="s">
        <v>40</v>
      </c>
      <c r="I629" s="5" t="s">
        <v>658</v>
      </c>
      <c r="J629" s="5" t="n">
        <v>1</v>
      </c>
      <c r="K629" s="5"/>
      <c r="L629" s="6"/>
      <c r="M629" s="6"/>
      <c r="N629" s="6"/>
      <c r="O629" s="6"/>
      <c r="P629" s="5" t="str">
        <f aca="false">IF(M629="","",ROUND(M629*IFERROR(INDEX(Weights!$B$2:$B$4,MATCH(G629,Weights!$A$2:$A$4,0)),0)*IFERROR(INDEX(Weights!$B$7:$B$11,MATCH(E629,Weights!$A$7:$A$11,0)),0)*IFERROR(INDEX(Weights!$B$14:$B$17,MATCH(TEXT(J629,"0"),Weights!$A$14:$A$17,0)),0)/(1+N(N629)/50),1))</f>
        <v/>
      </c>
      <c r="Q629" s="5" t="s">
        <v>42</v>
      </c>
    </row>
    <row r="630" customFormat="false" ht="15" hidden="false" customHeight="false" outlineLevel="0" collapsed="false">
      <c r="A630" s="5" t="n">
        <v>629</v>
      </c>
      <c r="B630" s="5" t="s">
        <v>776</v>
      </c>
      <c r="C630" s="5" t="s">
        <v>47</v>
      </c>
      <c r="D630" s="5" t="s">
        <v>766</v>
      </c>
      <c r="E630" s="5" t="s">
        <v>656</v>
      </c>
      <c r="F630" s="5" t="s">
        <v>767</v>
      </c>
      <c r="G630" s="5" t="s">
        <v>39</v>
      </c>
      <c r="H630" s="5" t="s">
        <v>40</v>
      </c>
      <c r="I630" s="5" t="s">
        <v>658</v>
      </c>
      <c r="J630" s="5" t="n">
        <v>1</v>
      </c>
      <c r="K630" s="5"/>
      <c r="L630" s="6"/>
      <c r="M630" s="6"/>
      <c r="N630" s="6"/>
      <c r="O630" s="6"/>
      <c r="P630" s="5" t="str">
        <f aca="false">IF(M630="","",ROUND(M630*IFERROR(INDEX(Weights!$B$2:$B$4,MATCH(G630,Weights!$A$2:$A$4,0)),0)*IFERROR(INDEX(Weights!$B$7:$B$11,MATCH(E630,Weights!$A$7:$A$11,0)),0)*IFERROR(INDEX(Weights!$B$14:$B$17,MATCH(TEXT(J630,"0"),Weights!$A$14:$A$17,0)),0)/(1+N(N630)/50),1))</f>
        <v/>
      </c>
      <c r="Q630" s="5" t="s">
        <v>42</v>
      </c>
    </row>
    <row r="631" customFormat="false" ht="15" hidden="false" customHeight="false" outlineLevel="0" collapsed="false">
      <c r="A631" s="5" t="n">
        <v>630</v>
      </c>
      <c r="B631" s="5" t="s">
        <v>777</v>
      </c>
      <c r="C631" s="5" t="s">
        <v>51</v>
      </c>
      <c r="D631" s="5" t="s">
        <v>766</v>
      </c>
      <c r="E631" s="5" t="s">
        <v>656</v>
      </c>
      <c r="F631" s="5" t="s">
        <v>767</v>
      </c>
      <c r="G631" s="5" t="s">
        <v>39</v>
      </c>
      <c r="H631" s="5" t="s">
        <v>40</v>
      </c>
      <c r="I631" s="5" t="s">
        <v>658</v>
      </c>
      <c r="J631" s="5" t="n">
        <v>1</v>
      </c>
      <c r="K631" s="5"/>
      <c r="L631" s="6"/>
      <c r="M631" s="6"/>
      <c r="N631" s="6"/>
      <c r="O631" s="6"/>
      <c r="P631" s="5" t="str">
        <f aca="false">IF(M631="","",ROUND(M631*IFERROR(INDEX(Weights!$B$2:$B$4,MATCH(G631,Weights!$A$2:$A$4,0)),0)*IFERROR(INDEX(Weights!$B$7:$B$11,MATCH(E631,Weights!$A$7:$A$11,0)),0)*IFERROR(INDEX(Weights!$B$14:$B$17,MATCH(TEXT(J631,"0"),Weights!$A$14:$A$17,0)),0)/(1+N(N631)/50),1))</f>
        <v/>
      </c>
      <c r="Q631" s="5" t="s">
        <v>42</v>
      </c>
    </row>
    <row r="632" customFormat="false" ht="15" hidden="false" customHeight="false" outlineLevel="0" collapsed="false">
      <c r="A632" s="5" t="n">
        <v>631</v>
      </c>
      <c r="B632" s="5" t="s">
        <v>778</v>
      </c>
      <c r="C632" s="5" t="s">
        <v>51</v>
      </c>
      <c r="D632" s="5" t="s">
        <v>766</v>
      </c>
      <c r="E632" s="5" t="s">
        <v>656</v>
      </c>
      <c r="F632" s="5" t="s">
        <v>767</v>
      </c>
      <c r="G632" s="5" t="s">
        <v>39</v>
      </c>
      <c r="H632" s="5" t="s">
        <v>40</v>
      </c>
      <c r="I632" s="5" t="s">
        <v>658</v>
      </c>
      <c r="J632" s="5" t="n">
        <v>1</v>
      </c>
      <c r="K632" s="5"/>
      <c r="L632" s="6"/>
      <c r="M632" s="6"/>
      <c r="N632" s="6"/>
      <c r="O632" s="6"/>
      <c r="P632" s="5" t="str">
        <f aca="false">IF(M632="","",ROUND(M632*IFERROR(INDEX(Weights!$B$2:$B$4,MATCH(G632,Weights!$A$2:$A$4,0)),0)*IFERROR(INDEX(Weights!$B$7:$B$11,MATCH(E632,Weights!$A$7:$A$11,0)),0)*IFERROR(INDEX(Weights!$B$14:$B$17,MATCH(TEXT(J632,"0"),Weights!$A$14:$A$17,0)),0)/(1+N(N632)/50),1))</f>
        <v/>
      </c>
      <c r="Q632" s="5" t="s">
        <v>42</v>
      </c>
    </row>
    <row r="633" customFormat="false" ht="15" hidden="false" customHeight="false" outlineLevel="0" collapsed="false">
      <c r="A633" s="5" t="n">
        <v>632</v>
      </c>
      <c r="B633" s="5" t="s">
        <v>779</v>
      </c>
      <c r="C633" s="5" t="s">
        <v>54</v>
      </c>
      <c r="D633" s="5" t="s">
        <v>766</v>
      </c>
      <c r="E633" s="5" t="s">
        <v>656</v>
      </c>
      <c r="F633" s="5" t="s">
        <v>767</v>
      </c>
      <c r="G633" s="5" t="s">
        <v>39</v>
      </c>
      <c r="H633" s="5" t="s">
        <v>40</v>
      </c>
      <c r="I633" s="5" t="s">
        <v>658</v>
      </c>
      <c r="J633" s="5" t="n">
        <v>1</v>
      </c>
      <c r="K633" s="5"/>
      <c r="L633" s="6"/>
      <c r="M633" s="6"/>
      <c r="N633" s="6"/>
      <c r="O633" s="6"/>
      <c r="P633" s="5" t="str">
        <f aca="false">IF(M633="","",ROUND(M633*IFERROR(INDEX(Weights!$B$2:$B$4,MATCH(G633,Weights!$A$2:$A$4,0)),0)*IFERROR(INDEX(Weights!$B$7:$B$11,MATCH(E633,Weights!$A$7:$A$11,0)),0)*IFERROR(INDEX(Weights!$B$14:$B$17,MATCH(TEXT(J633,"0"),Weights!$A$14:$A$17,0)),0)/(1+N(N633)/50),1))</f>
        <v/>
      </c>
      <c r="Q633" s="5" t="s">
        <v>42</v>
      </c>
    </row>
    <row r="634" customFormat="false" ht="15" hidden="false" customHeight="false" outlineLevel="0" collapsed="false">
      <c r="A634" s="5" t="n">
        <v>633</v>
      </c>
      <c r="B634" s="5" t="s">
        <v>780</v>
      </c>
      <c r="C634" s="5" t="s">
        <v>54</v>
      </c>
      <c r="D634" s="5" t="s">
        <v>766</v>
      </c>
      <c r="E634" s="5" t="s">
        <v>656</v>
      </c>
      <c r="F634" s="5" t="s">
        <v>767</v>
      </c>
      <c r="G634" s="5" t="s">
        <v>39</v>
      </c>
      <c r="H634" s="5" t="s">
        <v>40</v>
      </c>
      <c r="I634" s="5" t="s">
        <v>658</v>
      </c>
      <c r="J634" s="5" t="n">
        <v>1</v>
      </c>
      <c r="K634" s="5"/>
      <c r="L634" s="6"/>
      <c r="M634" s="6"/>
      <c r="N634" s="6"/>
      <c r="O634" s="6"/>
      <c r="P634" s="5" t="str">
        <f aca="false">IF(M634="","",ROUND(M634*IFERROR(INDEX(Weights!$B$2:$B$4,MATCH(G634,Weights!$A$2:$A$4,0)),0)*IFERROR(INDEX(Weights!$B$7:$B$11,MATCH(E634,Weights!$A$7:$A$11,0)),0)*IFERROR(INDEX(Weights!$B$14:$B$17,MATCH(TEXT(J634,"0"),Weights!$A$14:$A$17,0)),0)/(1+N(N634)/50),1))</f>
        <v/>
      </c>
      <c r="Q634" s="5" t="s">
        <v>42</v>
      </c>
    </row>
    <row r="635" customFormat="false" ht="15" hidden="false" customHeight="false" outlineLevel="0" collapsed="false">
      <c r="A635" s="5" t="n">
        <v>634</v>
      </c>
      <c r="B635" s="5" t="s">
        <v>781</v>
      </c>
      <c r="C635" s="5" t="s">
        <v>57</v>
      </c>
      <c r="D635" s="5" t="s">
        <v>766</v>
      </c>
      <c r="E635" s="5" t="s">
        <v>656</v>
      </c>
      <c r="F635" s="5" t="s">
        <v>767</v>
      </c>
      <c r="G635" s="5" t="s">
        <v>39</v>
      </c>
      <c r="H635" s="5" t="s">
        <v>40</v>
      </c>
      <c r="I635" s="5" t="s">
        <v>658</v>
      </c>
      <c r="J635" s="5" t="n">
        <v>1</v>
      </c>
      <c r="K635" s="5"/>
      <c r="L635" s="6"/>
      <c r="M635" s="6"/>
      <c r="N635" s="6"/>
      <c r="O635" s="6"/>
      <c r="P635" s="5" t="str">
        <f aca="false">IF(M635="","",ROUND(M635*IFERROR(INDEX(Weights!$B$2:$B$4,MATCH(G635,Weights!$A$2:$A$4,0)),0)*IFERROR(INDEX(Weights!$B$7:$B$11,MATCH(E635,Weights!$A$7:$A$11,0)),0)*IFERROR(INDEX(Weights!$B$14:$B$17,MATCH(TEXT(J635,"0"),Weights!$A$14:$A$17,0)),0)/(1+N(N635)/50),1))</f>
        <v/>
      </c>
      <c r="Q635" s="5" t="s">
        <v>42</v>
      </c>
    </row>
    <row r="636" customFormat="false" ht="15" hidden="false" customHeight="false" outlineLevel="0" collapsed="false">
      <c r="A636" s="5" t="n">
        <v>635</v>
      </c>
      <c r="B636" s="5" t="s">
        <v>782</v>
      </c>
      <c r="C636" s="5" t="s">
        <v>57</v>
      </c>
      <c r="D636" s="5" t="s">
        <v>766</v>
      </c>
      <c r="E636" s="5" t="s">
        <v>656</v>
      </c>
      <c r="F636" s="5" t="s">
        <v>767</v>
      </c>
      <c r="G636" s="5" t="s">
        <v>39</v>
      </c>
      <c r="H636" s="5" t="s">
        <v>40</v>
      </c>
      <c r="I636" s="5" t="s">
        <v>658</v>
      </c>
      <c r="J636" s="5" t="n">
        <v>1</v>
      </c>
      <c r="K636" s="5"/>
      <c r="L636" s="6"/>
      <c r="M636" s="6"/>
      <c r="N636" s="6"/>
      <c r="O636" s="6"/>
      <c r="P636" s="5" t="str">
        <f aca="false">IF(M636="","",ROUND(M636*IFERROR(INDEX(Weights!$B$2:$B$4,MATCH(G636,Weights!$A$2:$A$4,0)),0)*IFERROR(INDEX(Weights!$B$7:$B$11,MATCH(E636,Weights!$A$7:$A$11,0)),0)*IFERROR(INDEX(Weights!$B$14:$B$17,MATCH(TEXT(J636,"0"),Weights!$A$14:$A$17,0)),0)/(1+N(N636)/50),1))</f>
        <v/>
      </c>
      <c r="Q636" s="5" t="s">
        <v>42</v>
      </c>
    </row>
    <row r="637" customFormat="false" ht="15" hidden="false" customHeight="false" outlineLevel="0" collapsed="false">
      <c r="A637" s="5" t="n">
        <v>636</v>
      </c>
      <c r="B637" s="5" t="s">
        <v>783</v>
      </c>
      <c r="C637" s="5" t="s">
        <v>57</v>
      </c>
      <c r="D637" s="5" t="s">
        <v>766</v>
      </c>
      <c r="E637" s="5" t="s">
        <v>656</v>
      </c>
      <c r="F637" s="5" t="s">
        <v>767</v>
      </c>
      <c r="G637" s="5" t="s">
        <v>39</v>
      </c>
      <c r="H637" s="5" t="s">
        <v>40</v>
      </c>
      <c r="I637" s="5" t="s">
        <v>658</v>
      </c>
      <c r="J637" s="5" t="n">
        <v>1</v>
      </c>
      <c r="K637" s="5"/>
      <c r="L637" s="6"/>
      <c r="M637" s="6"/>
      <c r="N637" s="6"/>
      <c r="O637" s="6"/>
      <c r="P637" s="5" t="str">
        <f aca="false">IF(M637="","",ROUND(M637*IFERROR(INDEX(Weights!$B$2:$B$4,MATCH(G637,Weights!$A$2:$A$4,0)),0)*IFERROR(INDEX(Weights!$B$7:$B$11,MATCH(E637,Weights!$A$7:$A$11,0)),0)*IFERROR(INDEX(Weights!$B$14:$B$17,MATCH(TEXT(J637,"0"),Weights!$A$14:$A$17,0)),0)/(1+N(N637)/50),1))</f>
        <v/>
      </c>
      <c r="Q637" s="5" t="s">
        <v>42</v>
      </c>
    </row>
    <row r="638" customFormat="false" ht="15" hidden="false" customHeight="false" outlineLevel="0" collapsed="false">
      <c r="A638" s="5" t="n">
        <v>637</v>
      </c>
      <c r="B638" s="5" t="s">
        <v>784</v>
      </c>
      <c r="C638" s="5" t="s">
        <v>456</v>
      </c>
      <c r="D638" s="5" t="s">
        <v>766</v>
      </c>
      <c r="E638" s="5" t="s">
        <v>656</v>
      </c>
      <c r="F638" s="5" t="s">
        <v>767</v>
      </c>
      <c r="G638" s="5" t="s">
        <v>39</v>
      </c>
      <c r="H638" s="5" t="s">
        <v>40</v>
      </c>
      <c r="I638" s="5" t="s">
        <v>658</v>
      </c>
      <c r="J638" s="5" t="n">
        <v>1</v>
      </c>
      <c r="K638" s="5"/>
      <c r="L638" s="6"/>
      <c r="M638" s="6"/>
      <c r="N638" s="6"/>
      <c r="O638" s="6"/>
      <c r="P638" s="5" t="str">
        <f aca="false">IF(M638="","",ROUND(M638*IFERROR(INDEX(Weights!$B$2:$B$4,MATCH(G638,Weights!$A$2:$A$4,0)),0)*IFERROR(INDEX(Weights!$B$7:$B$11,MATCH(E638,Weights!$A$7:$A$11,0)),0)*IFERROR(INDEX(Weights!$B$14:$B$17,MATCH(TEXT(J638,"0"),Weights!$A$14:$A$17,0)),0)/(1+N(N638)/50),1))</f>
        <v/>
      </c>
      <c r="Q638" s="5" t="s">
        <v>42</v>
      </c>
    </row>
    <row r="639" customFormat="false" ht="15" hidden="false" customHeight="false" outlineLevel="0" collapsed="false">
      <c r="A639" s="5" t="n">
        <v>638</v>
      </c>
      <c r="B639" s="5" t="s">
        <v>785</v>
      </c>
      <c r="C639" s="5" t="s">
        <v>464</v>
      </c>
      <c r="D639" s="5" t="s">
        <v>766</v>
      </c>
      <c r="E639" s="5" t="s">
        <v>656</v>
      </c>
      <c r="F639" s="5" t="s">
        <v>767</v>
      </c>
      <c r="G639" s="5" t="s">
        <v>39</v>
      </c>
      <c r="H639" s="5" t="s">
        <v>40</v>
      </c>
      <c r="I639" s="5" t="s">
        <v>658</v>
      </c>
      <c r="J639" s="5" t="n">
        <v>1</v>
      </c>
      <c r="K639" s="5"/>
      <c r="L639" s="6"/>
      <c r="M639" s="6"/>
      <c r="N639" s="6"/>
      <c r="O639" s="6"/>
      <c r="P639" s="5" t="str">
        <f aca="false">IF(M639="","",ROUND(M639*IFERROR(INDEX(Weights!$B$2:$B$4,MATCH(G639,Weights!$A$2:$A$4,0)),0)*IFERROR(INDEX(Weights!$B$7:$B$11,MATCH(E639,Weights!$A$7:$A$11,0)),0)*IFERROR(INDEX(Weights!$B$14:$B$17,MATCH(TEXT(J639,"0"),Weights!$A$14:$A$17,0)),0)/(1+N(N639)/50),1))</f>
        <v/>
      </c>
      <c r="Q639" s="5" t="s">
        <v>42</v>
      </c>
    </row>
    <row r="640" customFormat="false" ht="15" hidden="false" customHeight="false" outlineLevel="0" collapsed="false">
      <c r="A640" s="5" t="n">
        <v>639</v>
      </c>
      <c r="B640" s="5" t="s">
        <v>786</v>
      </c>
      <c r="C640" s="5" t="s">
        <v>464</v>
      </c>
      <c r="D640" s="5" t="s">
        <v>766</v>
      </c>
      <c r="E640" s="5" t="s">
        <v>656</v>
      </c>
      <c r="F640" s="5" t="s">
        <v>767</v>
      </c>
      <c r="G640" s="5" t="s">
        <v>39</v>
      </c>
      <c r="H640" s="5" t="s">
        <v>40</v>
      </c>
      <c r="I640" s="5" t="s">
        <v>658</v>
      </c>
      <c r="J640" s="5" t="n">
        <v>1</v>
      </c>
      <c r="K640" s="5"/>
      <c r="L640" s="6"/>
      <c r="M640" s="6"/>
      <c r="N640" s="6"/>
      <c r="O640" s="6"/>
      <c r="P640" s="5" t="str">
        <f aca="false">IF(M640="","",ROUND(M640*IFERROR(INDEX(Weights!$B$2:$B$4,MATCH(G640,Weights!$A$2:$A$4,0)),0)*IFERROR(INDEX(Weights!$B$7:$B$11,MATCH(E640,Weights!$A$7:$A$11,0)),0)*IFERROR(INDEX(Weights!$B$14:$B$17,MATCH(TEXT(J640,"0"),Weights!$A$14:$A$17,0)),0)/(1+N(N640)/50),1))</f>
        <v/>
      </c>
      <c r="Q640" s="5" t="s">
        <v>42</v>
      </c>
    </row>
    <row r="641" customFormat="false" ht="15" hidden="false" customHeight="false" outlineLevel="0" collapsed="false">
      <c r="A641" s="5" t="n">
        <v>640</v>
      </c>
      <c r="B641" s="5" t="s">
        <v>787</v>
      </c>
      <c r="C641" s="5" t="s">
        <v>64</v>
      </c>
      <c r="D641" s="5" t="s">
        <v>766</v>
      </c>
      <c r="E641" s="5" t="s">
        <v>656</v>
      </c>
      <c r="F641" s="5" t="s">
        <v>767</v>
      </c>
      <c r="G641" s="5" t="s">
        <v>39</v>
      </c>
      <c r="H641" s="5" t="s">
        <v>40</v>
      </c>
      <c r="I641" s="5" t="s">
        <v>658</v>
      </c>
      <c r="J641" s="5" t="n">
        <v>1</v>
      </c>
      <c r="K641" s="5"/>
      <c r="L641" s="6"/>
      <c r="M641" s="6"/>
      <c r="N641" s="6"/>
      <c r="O641" s="6"/>
      <c r="P641" s="5" t="str">
        <f aca="false">IF(M641="","",ROUND(M641*IFERROR(INDEX(Weights!$B$2:$B$4,MATCH(G641,Weights!$A$2:$A$4,0)),0)*IFERROR(INDEX(Weights!$B$7:$B$11,MATCH(E641,Weights!$A$7:$A$11,0)),0)*IFERROR(INDEX(Weights!$B$14:$B$17,MATCH(TEXT(J641,"0"),Weights!$A$14:$A$17,0)),0)/(1+N(N641)/50),1))</f>
        <v/>
      </c>
      <c r="Q641" s="5" t="s">
        <v>42</v>
      </c>
    </row>
    <row r="642" customFormat="false" ht="15" hidden="false" customHeight="false" outlineLevel="0" collapsed="false">
      <c r="A642" s="5" t="n">
        <v>641</v>
      </c>
      <c r="B642" s="5" t="s">
        <v>788</v>
      </c>
      <c r="C642" s="5" t="s">
        <v>64</v>
      </c>
      <c r="D642" s="5" t="s">
        <v>766</v>
      </c>
      <c r="E642" s="5" t="s">
        <v>656</v>
      </c>
      <c r="F642" s="5" t="s">
        <v>767</v>
      </c>
      <c r="G642" s="5" t="s">
        <v>39</v>
      </c>
      <c r="H642" s="5" t="s">
        <v>40</v>
      </c>
      <c r="I642" s="5" t="s">
        <v>658</v>
      </c>
      <c r="J642" s="5" t="n">
        <v>1</v>
      </c>
      <c r="K642" s="5"/>
      <c r="L642" s="6"/>
      <c r="M642" s="6"/>
      <c r="N642" s="6"/>
      <c r="O642" s="6"/>
      <c r="P642" s="5" t="str">
        <f aca="false">IF(M642="","",ROUND(M642*IFERROR(INDEX(Weights!$B$2:$B$4,MATCH(G642,Weights!$A$2:$A$4,0)),0)*IFERROR(INDEX(Weights!$B$7:$B$11,MATCH(E642,Weights!$A$7:$A$11,0)),0)*IFERROR(INDEX(Weights!$B$14:$B$17,MATCH(TEXT(J642,"0"),Weights!$A$14:$A$17,0)),0)/(1+N(N642)/50),1))</f>
        <v/>
      </c>
      <c r="Q642" s="5" t="s">
        <v>42</v>
      </c>
    </row>
    <row r="643" customFormat="false" ht="15" hidden="false" customHeight="false" outlineLevel="0" collapsed="false">
      <c r="A643" s="5" t="n">
        <v>642</v>
      </c>
      <c r="B643" s="5" t="s">
        <v>789</v>
      </c>
      <c r="C643" s="5" t="s">
        <v>64</v>
      </c>
      <c r="D643" s="5" t="s">
        <v>766</v>
      </c>
      <c r="E643" s="5" t="s">
        <v>656</v>
      </c>
      <c r="F643" s="5" t="s">
        <v>767</v>
      </c>
      <c r="G643" s="5" t="s">
        <v>39</v>
      </c>
      <c r="H643" s="5" t="s">
        <v>40</v>
      </c>
      <c r="I643" s="5" t="s">
        <v>658</v>
      </c>
      <c r="J643" s="5" t="n">
        <v>1</v>
      </c>
      <c r="K643" s="5"/>
      <c r="L643" s="6"/>
      <c r="M643" s="6"/>
      <c r="N643" s="6"/>
      <c r="O643" s="6"/>
      <c r="P643" s="5" t="str">
        <f aca="false">IF(M643="","",ROUND(M643*IFERROR(INDEX(Weights!$B$2:$B$4,MATCH(G643,Weights!$A$2:$A$4,0)),0)*IFERROR(INDEX(Weights!$B$7:$B$11,MATCH(E643,Weights!$A$7:$A$11,0)),0)*IFERROR(INDEX(Weights!$B$14:$B$17,MATCH(TEXT(J643,"0"),Weights!$A$14:$A$17,0)),0)/(1+N(N643)/50),1))</f>
        <v/>
      </c>
      <c r="Q643" s="5" t="s">
        <v>42</v>
      </c>
    </row>
    <row r="644" customFormat="false" ht="15" hidden="false" customHeight="false" outlineLevel="0" collapsed="false">
      <c r="A644" s="5" t="n">
        <v>643</v>
      </c>
      <c r="B644" s="5" t="s">
        <v>790</v>
      </c>
      <c r="C644" s="5" t="s">
        <v>66</v>
      </c>
      <c r="D644" s="5" t="s">
        <v>766</v>
      </c>
      <c r="E644" s="5" t="s">
        <v>656</v>
      </c>
      <c r="F644" s="5" t="s">
        <v>767</v>
      </c>
      <c r="G644" s="5" t="s">
        <v>39</v>
      </c>
      <c r="H644" s="5" t="s">
        <v>40</v>
      </c>
      <c r="I644" s="5" t="s">
        <v>658</v>
      </c>
      <c r="J644" s="5" t="n">
        <v>1</v>
      </c>
      <c r="K644" s="5"/>
      <c r="L644" s="6"/>
      <c r="M644" s="6"/>
      <c r="N644" s="6"/>
      <c r="O644" s="6"/>
      <c r="P644" s="5" t="str">
        <f aca="false">IF(M644="","",ROUND(M644*IFERROR(INDEX(Weights!$B$2:$B$4,MATCH(G644,Weights!$A$2:$A$4,0)),0)*IFERROR(INDEX(Weights!$B$7:$B$11,MATCH(E644,Weights!$A$7:$A$11,0)),0)*IFERROR(INDEX(Weights!$B$14:$B$17,MATCH(TEXT(J644,"0"),Weights!$A$14:$A$17,0)),0)/(1+N(N644)/50),1))</f>
        <v/>
      </c>
      <c r="Q644" s="5" t="s">
        <v>42</v>
      </c>
    </row>
    <row r="645" customFormat="false" ht="15" hidden="false" customHeight="false" outlineLevel="0" collapsed="false">
      <c r="A645" s="5" t="n">
        <v>644</v>
      </c>
      <c r="B645" s="5" t="s">
        <v>791</v>
      </c>
      <c r="C645" s="5" t="s">
        <v>61</v>
      </c>
      <c r="D645" s="5" t="s">
        <v>766</v>
      </c>
      <c r="E645" s="5" t="s">
        <v>656</v>
      </c>
      <c r="F645" s="5" t="s">
        <v>767</v>
      </c>
      <c r="G645" s="5" t="s">
        <v>39</v>
      </c>
      <c r="H645" s="5" t="s">
        <v>40</v>
      </c>
      <c r="I645" s="5" t="s">
        <v>658</v>
      </c>
      <c r="J645" s="5" t="n">
        <v>1</v>
      </c>
      <c r="K645" s="5"/>
      <c r="L645" s="6"/>
      <c r="M645" s="6"/>
      <c r="N645" s="6"/>
      <c r="O645" s="6"/>
      <c r="P645" s="5" t="str">
        <f aca="false">IF(M645="","",ROUND(M645*IFERROR(INDEX(Weights!$B$2:$B$4,MATCH(G645,Weights!$A$2:$A$4,0)),0)*IFERROR(INDEX(Weights!$B$7:$B$11,MATCH(E645,Weights!$A$7:$A$11,0)),0)*IFERROR(INDEX(Weights!$B$14:$B$17,MATCH(TEXT(J645,"0"),Weights!$A$14:$A$17,0)),0)/(1+N(N645)/50),1))</f>
        <v/>
      </c>
      <c r="Q645" s="5" t="s">
        <v>42</v>
      </c>
    </row>
    <row r="646" customFormat="false" ht="15" hidden="false" customHeight="false" outlineLevel="0" collapsed="false">
      <c r="A646" s="5" t="n">
        <v>645</v>
      </c>
      <c r="B646" s="5" t="s">
        <v>792</v>
      </c>
      <c r="C646" s="5" t="s">
        <v>69</v>
      </c>
      <c r="D646" s="5" t="s">
        <v>766</v>
      </c>
      <c r="E646" s="5" t="s">
        <v>656</v>
      </c>
      <c r="F646" s="5" t="s">
        <v>767</v>
      </c>
      <c r="G646" s="5" t="s">
        <v>39</v>
      </c>
      <c r="H646" s="5" t="s">
        <v>40</v>
      </c>
      <c r="I646" s="5" t="s">
        <v>658</v>
      </c>
      <c r="J646" s="5" t="n">
        <v>1</v>
      </c>
      <c r="K646" s="5"/>
      <c r="L646" s="6"/>
      <c r="M646" s="6"/>
      <c r="N646" s="6"/>
      <c r="O646" s="6"/>
      <c r="P646" s="5" t="str">
        <f aca="false">IF(M646="","",ROUND(M646*IFERROR(INDEX(Weights!$B$2:$B$4,MATCH(G646,Weights!$A$2:$A$4,0)),0)*IFERROR(INDEX(Weights!$B$7:$B$11,MATCH(E646,Weights!$A$7:$A$11,0)),0)*IFERROR(INDEX(Weights!$B$14:$B$17,MATCH(TEXT(J646,"0"),Weights!$A$14:$A$17,0)),0)/(1+N(N646)/50),1))</f>
        <v/>
      </c>
      <c r="Q646" s="5" t="s">
        <v>42</v>
      </c>
    </row>
    <row r="647" customFormat="false" ht="15" hidden="false" customHeight="false" outlineLevel="0" collapsed="false">
      <c r="A647" s="5" t="n">
        <v>646</v>
      </c>
      <c r="B647" s="5" t="s">
        <v>793</v>
      </c>
      <c r="C647" s="5" t="s">
        <v>35</v>
      </c>
      <c r="D647" s="5" t="s">
        <v>36</v>
      </c>
      <c r="E647" s="5" t="s">
        <v>794</v>
      </c>
      <c r="F647" s="5" t="s">
        <v>795</v>
      </c>
      <c r="G647" s="5" t="s">
        <v>39</v>
      </c>
      <c r="H647" s="5" t="s">
        <v>40</v>
      </c>
      <c r="I647" s="5" t="s">
        <v>796</v>
      </c>
      <c r="J647" s="5" t="n">
        <v>4</v>
      </c>
      <c r="K647" s="5"/>
      <c r="L647" s="6"/>
      <c r="M647" s="6"/>
      <c r="N647" s="6"/>
      <c r="O647" s="6"/>
      <c r="P647" s="5" t="str">
        <f aca="false">IF(M647="","",ROUND(M647*IFERROR(INDEX(Weights!$B$2:$B$4,MATCH(G647,Weights!$A$2:$A$4,0)),0)*IFERROR(INDEX(Weights!$B$7:$B$11,MATCH(E647,Weights!$A$7:$A$11,0)),0)*IFERROR(INDEX(Weights!$B$14:$B$17,MATCH(TEXT(J647,"0"),Weights!$A$14:$A$17,0)),0)/(1+N(N647)/50),1))</f>
        <v/>
      </c>
      <c r="Q647" s="5" t="s">
        <v>42</v>
      </c>
    </row>
    <row r="648" customFormat="false" ht="15" hidden="false" customHeight="false" outlineLevel="0" collapsed="false">
      <c r="A648" s="5" t="n">
        <v>647</v>
      </c>
      <c r="B648" s="5" t="s">
        <v>797</v>
      </c>
      <c r="C648" s="5" t="s">
        <v>35</v>
      </c>
      <c r="D648" s="5" t="s">
        <v>36</v>
      </c>
      <c r="E648" s="5" t="s">
        <v>794</v>
      </c>
      <c r="F648" s="5" t="s">
        <v>795</v>
      </c>
      <c r="G648" s="5" t="s">
        <v>39</v>
      </c>
      <c r="H648" s="5" t="s">
        <v>40</v>
      </c>
      <c r="I648" s="5" t="s">
        <v>796</v>
      </c>
      <c r="J648" s="5" t="n">
        <v>4</v>
      </c>
      <c r="K648" s="5"/>
      <c r="L648" s="6"/>
      <c r="M648" s="6"/>
      <c r="N648" s="6"/>
      <c r="O648" s="6"/>
      <c r="P648" s="5" t="str">
        <f aca="false">IF(M648="","",ROUND(M648*IFERROR(INDEX(Weights!$B$2:$B$4,MATCH(G648,Weights!$A$2:$A$4,0)),0)*IFERROR(INDEX(Weights!$B$7:$B$11,MATCH(E648,Weights!$A$7:$A$11,0)),0)*IFERROR(INDEX(Weights!$B$14:$B$17,MATCH(TEXT(J648,"0"),Weights!$A$14:$A$17,0)),0)/(1+N(N648)/50),1))</f>
        <v/>
      </c>
      <c r="Q648" s="5" t="s">
        <v>42</v>
      </c>
    </row>
    <row r="649" customFormat="false" ht="15" hidden="false" customHeight="false" outlineLevel="0" collapsed="false">
      <c r="A649" s="5" t="n">
        <v>648</v>
      </c>
      <c r="B649" s="5" t="s">
        <v>798</v>
      </c>
      <c r="C649" s="5" t="s">
        <v>35</v>
      </c>
      <c r="D649" s="5" t="s">
        <v>36</v>
      </c>
      <c r="E649" s="5" t="s">
        <v>794</v>
      </c>
      <c r="F649" s="5" t="s">
        <v>795</v>
      </c>
      <c r="G649" s="5" t="s">
        <v>39</v>
      </c>
      <c r="H649" s="5" t="s">
        <v>40</v>
      </c>
      <c r="I649" s="5" t="s">
        <v>796</v>
      </c>
      <c r="J649" s="5" t="n">
        <v>4</v>
      </c>
      <c r="K649" s="5"/>
      <c r="L649" s="6"/>
      <c r="M649" s="6"/>
      <c r="N649" s="6"/>
      <c r="O649" s="6"/>
      <c r="P649" s="5" t="str">
        <f aca="false">IF(M649="","",ROUND(M649*IFERROR(INDEX(Weights!$B$2:$B$4,MATCH(G649,Weights!$A$2:$A$4,0)),0)*IFERROR(INDEX(Weights!$B$7:$B$11,MATCH(E649,Weights!$A$7:$A$11,0)),0)*IFERROR(INDEX(Weights!$B$14:$B$17,MATCH(TEXT(J649,"0"),Weights!$A$14:$A$17,0)),0)/(1+N(N649)/50),1))</f>
        <v/>
      </c>
      <c r="Q649" s="5" t="s">
        <v>42</v>
      </c>
    </row>
    <row r="650" customFormat="false" ht="15" hidden="false" customHeight="false" outlineLevel="0" collapsed="false">
      <c r="A650" s="5" t="n">
        <v>649</v>
      </c>
      <c r="B650" s="5" t="s">
        <v>799</v>
      </c>
      <c r="C650" s="5" t="s">
        <v>47</v>
      </c>
      <c r="D650" s="5" t="s">
        <v>36</v>
      </c>
      <c r="E650" s="5" t="s">
        <v>794</v>
      </c>
      <c r="F650" s="5" t="s">
        <v>795</v>
      </c>
      <c r="G650" s="5" t="s">
        <v>39</v>
      </c>
      <c r="H650" s="5" t="s">
        <v>40</v>
      </c>
      <c r="I650" s="5" t="s">
        <v>796</v>
      </c>
      <c r="J650" s="5" t="n">
        <v>4</v>
      </c>
      <c r="K650" s="5"/>
      <c r="L650" s="6"/>
      <c r="M650" s="6"/>
      <c r="N650" s="6"/>
      <c r="O650" s="6"/>
      <c r="P650" s="5" t="str">
        <f aca="false">IF(M650="","",ROUND(M650*IFERROR(INDEX(Weights!$B$2:$B$4,MATCH(G650,Weights!$A$2:$A$4,0)),0)*IFERROR(INDEX(Weights!$B$7:$B$11,MATCH(E650,Weights!$A$7:$A$11,0)),0)*IFERROR(INDEX(Weights!$B$14:$B$17,MATCH(TEXT(J650,"0"),Weights!$A$14:$A$17,0)),0)/(1+N(N650)/50),1))</f>
        <v/>
      </c>
      <c r="Q650" s="5" t="s">
        <v>42</v>
      </c>
    </row>
    <row r="651" customFormat="false" ht="15" hidden="false" customHeight="false" outlineLevel="0" collapsed="false">
      <c r="A651" s="5" t="n">
        <v>650</v>
      </c>
      <c r="B651" s="5" t="s">
        <v>800</v>
      </c>
      <c r="C651" s="5" t="s">
        <v>47</v>
      </c>
      <c r="D651" s="5" t="s">
        <v>36</v>
      </c>
      <c r="E651" s="5" t="s">
        <v>794</v>
      </c>
      <c r="F651" s="5" t="s">
        <v>795</v>
      </c>
      <c r="G651" s="5" t="s">
        <v>39</v>
      </c>
      <c r="H651" s="5" t="s">
        <v>40</v>
      </c>
      <c r="I651" s="5" t="s">
        <v>796</v>
      </c>
      <c r="J651" s="5" t="n">
        <v>4</v>
      </c>
      <c r="K651" s="5"/>
      <c r="L651" s="6"/>
      <c r="M651" s="6"/>
      <c r="N651" s="6"/>
      <c r="O651" s="6"/>
      <c r="P651" s="5" t="str">
        <f aca="false">IF(M651="","",ROUND(M651*IFERROR(INDEX(Weights!$B$2:$B$4,MATCH(G651,Weights!$A$2:$A$4,0)),0)*IFERROR(INDEX(Weights!$B$7:$B$11,MATCH(E651,Weights!$A$7:$A$11,0)),0)*IFERROR(INDEX(Weights!$B$14:$B$17,MATCH(TEXT(J651,"0"),Weights!$A$14:$A$17,0)),0)/(1+N(N651)/50),1))</f>
        <v/>
      </c>
      <c r="Q651" s="5" t="s">
        <v>42</v>
      </c>
    </row>
    <row r="652" customFormat="false" ht="15" hidden="false" customHeight="false" outlineLevel="0" collapsed="false">
      <c r="A652" s="5" t="n">
        <v>651</v>
      </c>
      <c r="B652" s="5" t="s">
        <v>801</v>
      </c>
      <c r="C652" s="5" t="s">
        <v>47</v>
      </c>
      <c r="D652" s="5" t="s">
        <v>36</v>
      </c>
      <c r="E652" s="5" t="s">
        <v>794</v>
      </c>
      <c r="F652" s="5" t="s">
        <v>795</v>
      </c>
      <c r="G652" s="5" t="s">
        <v>39</v>
      </c>
      <c r="H652" s="5" t="s">
        <v>40</v>
      </c>
      <c r="I652" s="5" t="s">
        <v>796</v>
      </c>
      <c r="J652" s="5" t="n">
        <v>4</v>
      </c>
      <c r="K652" s="5"/>
      <c r="L652" s="6"/>
      <c r="M652" s="6"/>
      <c r="N652" s="6"/>
      <c r="O652" s="6"/>
      <c r="P652" s="5" t="str">
        <f aca="false">IF(M652="","",ROUND(M652*IFERROR(INDEX(Weights!$B$2:$B$4,MATCH(G652,Weights!$A$2:$A$4,0)),0)*IFERROR(INDEX(Weights!$B$7:$B$11,MATCH(E652,Weights!$A$7:$A$11,0)),0)*IFERROR(INDEX(Weights!$B$14:$B$17,MATCH(TEXT(J652,"0"),Weights!$A$14:$A$17,0)),0)/(1+N(N652)/50),1))</f>
        <v/>
      </c>
      <c r="Q652" s="5" t="s">
        <v>42</v>
      </c>
    </row>
    <row r="653" customFormat="false" ht="15" hidden="false" customHeight="false" outlineLevel="0" collapsed="false">
      <c r="A653" s="5" t="n">
        <v>652</v>
      </c>
      <c r="B653" s="5" t="s">
        <v>802</v>
      </c>
      <c r="C653" s="5" t="s">
        <v>47</v>
      </c>
      <c r="D653" s="5" t="s">
        <v>36</v>
      </c>
      <c r="E653" s="5" t="s">
        <v>794</v>
      </c>
      <c r="F653" s="5" t="s">
        <v>795</v>
      </c>
      <c r="G653" s="5" t="s">
        <v>39</v>
      </c>
      <c r="H653" s="5" t="s">
        <v>40</v>
      </c>
      <c r="I653" s="5" t="s">
        <v>796</v>
      </c>
      <c r="J653" s="5" t="n">
        <v>4</v>
      </c>
      <c r="K653" s="5"/>
      <c r="L653" s="6"/>
      <c r="M653" s="6"/>
      <c r="N653" s="6"/>
      <c r="O653" s="6"/>
      <c r="P653" s="5" t="str">
        <f aca="false">IF(M653="","",ROUND(M653*IFERROR(INDEX(Weights!$B$2:$B$4,MATCH(G653,Weights!$A$2:$A$4,0)),0)*IFERROR(INDEX(Weights!$B$7:$B$11,MATCH(E653,Weights!$A$7:$A$11,0)),0)*IFERROR(INDEX(Weights!$B$14:$B$17,MATCH(TEXT(J653,"0"),Weights!$A$14:$A$17,0)),0)/(1+N(N653)/50),1))</f>
        <v/>
      </c>
      <c r="Q653" s="5" t="s">
        <v>42</v>
      </c>
    </row>
    <row r="654" customFormat="false" ht="15" hidden="false" customHeight="false" outlineLevel="0" collapsed="false">
      <c r="A654" s="5" t="n">
        <v>653</v>
      </c>
      <c r="B654" s="5" t="s">
        <v>803</v>
      </c>
      <c r="C654" s="5" t="s">
        <v>51</v>
      </c>
      <c r="D654" s="5" t="s">
        <v>36</v>
      </c>
      <c r="E654" s="5" t="s">
        <v>794</v>
      </c>
      <c r="F654" s="5" t="s">
        <v>795</v>
      </c>
      <c r="G654" s="5" t="s">
        <v>39</v>
      </c>
      <c r="H654" s="5" t="s">
        <v>40</v>
      </c>
      <c r="I654" s="5" t="s">
        <v>796</v>
      </c>
      <c r="J654" s="5" t="n">
        <v>4</v>
      </c>
      <c r="K654" s="5"/>
      <c r="L654" s="6"/>
      <c r="M654" s="6"/>
      <c r="N654" s="6"/>
      <c r="O654" s="6"/>
      <c r="P654" s="5" t="str">
        <f aca="false">IF(M654="","",ROUND(M654*IFERROR(INDEX(Weights!$B$2:$B$4,MATCH(G654,Weights!$A$2:$A$4,0)),0)*IFERROR(INDEX(Weights!$B$7:$B$11,MATCH(E654,Weights!$A$7:$A$11,0)),0)*IFERROR(INDEX(Weights!$B$14:$B$17,MATCH(TEXT(J654,"0"),Weights!$A$14:$A$17,0)),0)/(1+N(N654)/50),1))</f>
        <v/>
      </c>
      <c r="Q654" s="5" t="s">
        <v>42</v>
      </c>
    </row>
    <row r="655" customFormat="false" ht="15" hidden="false" customHeight="false" outlineLevel="0" collapsed="false">
      <c r="A655" s="5" t="n">
        <v>654</v>
      </c>
      <c r="B655" s="5" t="s">
        <v>804</v>
      </c>
      <c r="C655" s="5" t="s">
        <v>51</v>
      </c>
      <c r="D655" s="5" t="s">
        <v>36</v>
      </c>
      <c r="E655" s="5" t="s">
        <v>794</v>
      </c>
      <c r="F655" s="5" t="s">
        <v>795</v>
      </c>
      <c r="G655" s="5" t="s">
        <v>39</v>
      </c>
      <c r="H655" s="5" t="s">
        <v>40</v>
      </c>
      <c r="I655" s="5" t="s">
        <v>796</v>
      </c>
      <c r="J655" s="5" t="n">
        <v>4</v>
      </c>
      <c r="K655" s="5"/>
      <c r="L655" s="6"/>
      <c r="M655" s="6"/>
      <c r="N655" s="6"/>
      <c r="O655" s="6"/>
      <c r="P655" s="5" t="str">
        <f aca="false">IF(M655="","",ROUND(M655*IFERROR(INDEX(Weights!$B$2:$B$4,MATCH(G655,Weights!$A$2:$A$4,0)),0)*IFERROR(INDEX(Weights!$B$7:$B$11,MATCH(E655,Weights!$A$7:$A$11,0)),0)*IFERROR(INDEX(Weights!$B$14:$B$17,MATCH(TEXT(J655,"0"),Weights!$A$14:$A$17,0)),0)/(1+N(N655)/50),1))</f>
        <v/>
      </c>
      <c r="Q655" s="5" t="s">
        <v>42</v>
      </c>
    </row>
    <row r="656" customFormat="false" ht="15" hidden="false" customHeight="false" outlineLevel="0" collapsed="false">
      <c r="A656" s="5" t="n">
        <v>655</v>
      </c>
      <c r="B656" s="5" t="s">
        <v>805</v>
      </c>
      <c r="C656" s="5" t="s">
        <v>51</v>
      </c>
      <c r="D656" s="5" t="s">
        <v>36</v>
      </c>
      <c r="E656" s="5" t="s">
        <v>794</v>
      </c>
      <c r="F656" s="5" t="s">
        <v>795</v>
      </c>
      <c r="G656" s="5" t="s">
        <v>39</v>
      </c>
      <c r="H656" s="5" t="s">
        <v>40</v>
      </c>
      <c r="I656" s="5" t="s">
        <v>796</v>
      </c>
      <c r="J656" s="5" t="n">
        <v>4</v>
      </c>
      <c r="K656" s="5"/>
      <c r="L656" s="6"/>
      <c r="M656" s="6"/>
      <c r="N656" s="6"/>
      <c r="O656" s="6"/>
      <c r="P656" s="5" t="str">
        <f aca="false">IF(M656="","",ROUND(M656*IFERROR(INDEX(Weights!$B$2:$B$4,MATCH(G656,Weights!$A$2:$A$4,0)),0)*IFERROR(INDEX(Weights!$B$7:$B$11,MATCH(E656,Weights!$A$7:$A$11,0)),0)*IFERROR(INDEX(Weights!$B$14:$B$17,MATCH(TEXT(J656,"0"),Weights!$A$14:$A$17,0)),0)/(1+N(N656)/50),1))</f>
        <v/>
      </c>
      <c r="Q656" s="5" t="s">
        <v>42</v>
      </c>
    </row>
    <row r="657" customFormat="false" ht="15" hidden="false" customHeight="false" outlineLevel="0" collapsed="false">
      <c r="A657" s="5" t="n">
        <v>656</v>
      </c>
      <c r="B657" s="5" t="s">
        <v>806</v>
      </c>
      <c r="C657" s="5" t="s">
        <v>54</v>
      </c>
      <c r="D657" s="5" t="s">
        <v>36</v>
      </c>
      <c r="E657" s="5" t="s">
        <v>794</v>
      </c>
      <c r="F657" s="5" t="s">
        <v>795</v>
      </c>
      <c r="G657" s="5" t="s">
        <v>39</v>
      </c>
      <c r="H657" s="5" t="s">
        <v>40</v>
      </c>
      <c r="I657" s="5" t="s">
        <v>796</v>
      </c>
      <c r="J657" s="5" t="n">
        <v>4</v>
      </c>
      <c r="K657" s="5"/>
      <c r="L657" s="6"/>
      <c r="M657" s="6"/>
      <c r="N657" s="6"/>
      <c r="O657" s="6"/>
      <c r="P657" s="5" t="str">
        <f aca="false">IF(M657="","",ROUND(M657*IFERROR(INDEX(Weights!$B$2:$B$4,MATCH(G657,Weights!$A$2:$A$4,0)),0)*IFERROR(INDEX(Weights!$B$7:$B$11,MATCH(E657,Weights!$A$7:$A$11,0)),0)*IFERROR(INDEX(Weights!$B$14:$B$17,MATCH(TEXT(J657,"0"),Weights!$A$14:$A$17,0)),0)/(1+N(N657)/50),1))</f>
        <v/>
      </c>
      <c r="Q657" s="5" t="s">
        <v>42</v>
      </c>
    </row>
    <row r="658" customFormat="false" ht="15" hidden="false" customHeight="false" outlineLevel="0" collapsed="false">
      <c r="A658" s="5" t="n">
        <v>657</v>
      </c>
      <c r="B658" s="5" t="s">
        <v>807</v>
      </c>
      <c r="C658" s="5" t="s">
        <v>54</v>
      </c>
      <c r="D658" s="5" t="s">
        <v>36</v>
      </c>
      <c r="E658" s="5" t="s">
        <v>794</v>
      </c>
      <c r="F658" s="5" t="s">
        <v>795</v>
      </c>
      <c r="G658" s="5" t="s">
        <v>39</v>
      </c>
      <c r="H658" s="5" t="s">
        <v>40</v>
      </c>
      <c r="I658" s="5" t="s">
        <v>796</v>
      </c>
      <c r="J658" s="5" t="n">
        <v>4</v>
      </c>
      <c r="K658" s="5"/>
      <c r="L658" s="6"/>
      <c r="M658" s="6"/>
      <c r="N658" s="6"/>
      <c r="O658" s="6"/>
      <c r="P658" s="5" t="str">
        <f aca="false">IF(M658="","",ROUND(M658*IFERROR(INDEX(Weights!$B$2:$B$4,MATCH(G658,Weights!$A$2:$A$4,0)),0)*IFERROR(INDEX(Weights!$B$7:$B$11,MATCH(E658,Weights!$A$7:$A$11,0)),0)*IFERROR(INDEX(Weights!$B$14:$B$17,MATCH(TEXT(J658,"0"),Weights!$A$14:$A$17,0)),0)/(1+N(N658)/50),1))</f>
        <v/>
      </c>
      <c r="Q658" s="5" t="s">
        <v>42</v>
      </c>
    </row>
    <row r="659" customFormat="false" ht="15" hidden="false" customHeight="false" outlineLevel="0" collapsed="false">
      <c r="A659" s="5" t="n">
        <v>658</v>
      </c>
      <c r="B659" s="5" t="s">
        <v>808</v>
      </c>
      <c r="C659" s="5" t="s">
        <v>57</v>
      </c>
      <c r="D659" s="5" t="s">
        <v>36</v>
      </c>
      <c r="E659" s="5" t="s">
        <v>794</v>
      </c>
      <c r="F659" s="5" t="s">
        <v>795</v>
      </c>
      <c r="G659" s="5" t="s">
        <v>39</v>
      </c>
      <c r="H659" s="5" t="s">
        <v>40</v>
      </c>
      <c r="I659" s="5" t="s">
        <v>796</v>
      </c>
      <c r="J659" s="5" t="n">
        <v>4</v>
      </c>
      <c r="K659" s="5"/>
      <c r="L659" s="6"/>
      <c r="M659" s="6"/>
      <c r="N659" s="6"/>
      <c r="O659" s="6"/>
      <c r="P659" s="5" t="str">
        <f aca="false">IF(M659="","",ROUND(M659*IFERROR(INDEX(Weights!$B$2:$B$4,MATCH(G659,Weights!$A$2:$A$4,0)),0)*IFERROR(INDEX(Weights!$B$7:$B$11,MATCH(E659,Weights!$A$7:$A$11,0)),0)*IFERROR(INDEX(Weights!$B$14:$B$17,MATCH(TEXT(J659,"0"),Weights!$A$14:$A$17,0)),0)/(1+N(N659)/50),1))</f>
        <v/>
      </c>
      <c r="Q659" s="5" t="s">
        <v>42</v>
      </c>
    </row>
    <row r="660" customFormat="false" ht="15" hidden="false" customHeight="false" outlineLevel="0" collapsed="false">
      <c r="A660" s="5" t="n">
        <v>659</v>
      </c>
      <c r="B660" s="5" t="s">
        <v>809</v>
      </c>
      <c r="C660" s="5" t="s">
        <v>57</v>
      </c>
      <c r="D660" s="5" t="s">
        <v>36</v>
      </c>
      <c r="E660" s="5" t="s">
        <v>794</v>
      </c>
      <c r="F660" s="5" t="s">
        <v>795</v>
      </c>
      <c r="G660" s="5" t="s">
        <v>39</v>
      </c>
      <c r="H660" s="5" t="s">
        <v>40</v>
      </c>
      <c r="I660" s="5" t="s">
        <v>796</v>
      </c>
      <c r="J660" s="5" t="n">
        <v>4</v>
      </c>
      <c r="K660" s="5"/>
      <c r="L660" s="6"/>
      <c r="M660" s="6"/>
      <c r="N660" s="6"/>
      <c r="O660" s="6"/>
      <c r="P660" s="5" t="str">
        <f aca="false">IF(M660="","",ROUND(M660*IFERROR(INDEX(Weights!$B$2:$B$4,MATCH(G660,Weights!$A$2:$A$4,0)),0)*IFERROR(INDEX(Weights!$B$7:$B$11,MATCH(E660,Weights!$A$7:$A$11,0)),0)*IFERROR(INDEX(Weights!$B$14:$B$17,MATCH(TEXT(J660,"0"),Weights!$A$14:$A$17,0)),0)/(1+N(N660)/50),1))</f>
        <v/>
      </c>
      <c r="Q660" s="5" t="s">
        <v>42</v>
      </c>
    </row>
    <row r="661" customFormat="false" ht="15" hidden="false" customHeight="false" outlineLevel="0" collapsed="false">
      <c r="A661" s="5" t="n">
        <v>660</v>
      </c>
      <c r="B661" s="5" t="s">
        <v>810</v>
      </c>
      <c r="C661" s="5" t="s">
        <v>57</v>
      </c>
      <c r="D661" s="5" t="s">
        <v>36</v>
      </c>
      <c r="E661" s="5" t="s">
        <v>794</v>
      </c>
      <c r="F661" s="5" t="s">
        <v>795</v>
      </c>
      <c r="G661" s="5" t="s">
        <v>39</v>
      </c>
      <c r="H661" s="5" t="s">
        <v>40</v>
      </c>
      <c r="I661" s="5" t="s">
        <v>796</v>
      </c>
      <c r="J661" s="5" t="n">
        <v>4</v>
      </c>
      <c r="K661" s="5"/>
      <c r="L661" s="6"/>
      <c r="M661" s="6"/>
      <c r="N661" s="6"/>
      <c r="O661" s="6"/>
      <c r="P661" s="5" t="str">
        <f aca="false">IF(M661="","",ROUND(M661*IFERROR(INDEX(Weights!$B$2:$B$4,MATCH(G661,Weights!$A$2:$A$4,0)),0)*IFERROR(INDEX(Weights!$B$7:$B$11,MATCH(E661,Weights!$A$7:$A$11,0)),0)*IFERROR(INDEX(Weights!$B$14:$B$17,MATCH(TEXT(J661,"0"),Weights!$A$14:$A$17,0)),0)/(1+N(N661)/50),1))</f>
        <v/>
      </c>
      <c r="Q661" s="5" t="s">
        <v>42</v>
      </c>
    </row>
    <row r="662" customFormat="false" ht="15" hidden="false" customHeight="false" outlineLevel="0" collapsed="false">
      <c r="A662" s="5" t="n">
        <v>661</v>
      </c>
      <c r="B662" s="5" t="s">
        <v>811</v>
      </c>
      <c r="C662" s="5" t="s">
        <v>464</v>
      </c>
      <c r="D662" s="5" t="s">
        <v>36</v>
      </c>
      <c r="E662" s="5" t="s">
        <v>794</v>
      </c>
      <c r="F662" s="5" t="s">
        <v>795</v>
      </c>
      <c r="G662" s="5" t="s">
        <v>39</v>
      </c>
      <c r="H662" s="5" t="s">
        <v>40</v>
      </c>
      <c r="I662" s="5" t="s">
        <v>796</v>
      </c>
      <c r="J662" s="5" t="n">
        <v>4</v>
      </c>
      <c r="K662" s="5"/>
      <c r="L662" s="6"/>
      <c r="M662" s="6"/>
      <c r="N662" s="6"/>
      <c r="O662" s="6"/>
      <c r="P662" s="5" t="str">
        <f aca="false">IF(M662="","",ROUND(M662*IFERROR(INDEX(Weights!$B$2:$B$4,MATCH(G662,Weights!$A$2:$A$4,0)),0)*IFERROR(INDEX(Weights!$B$7:$B$11,MATCH(E662,Weights!$A$7:$A$11,0)),0)*IFERROR(INDEX(Weights!$B$14:$B$17,MATCH(TEXT(J662,"0"),Weights!$A$14:$A$17,0)),0)/(1+N(N662)/50),1))</f>
        <v/>
      </c>
      <c r="Q662" s="5" t="s">
        <v>42</v>
      </c>
    </row>
    <row r="663" customFormat="false" ht="15" hidden="false" customHeight="false" outlineLevel="0" collapsed="false">
      <c r="A663" s="5" t="n">
        <v>662</v>
      </c>
      <c r="B663" s="5" t="s">
        <v>812</v>
      </c>
      <c r="C663" s="5" t="s">
        <v>464</v>
      </c>
      <c r="D663" s="5" t="s">
        <v>36</v>
      </c>
      <c r="E663" s="5" t="s">
        <v>794</v>
      </c>
      <c r="F663" s="5" t="s">
        <v>795</v>
      </c>
      <c r="G663" s="5" t="s">
        <v>39</v>
      </c>
      <c r="H663" s="5" t="s">
        <v>40</v>
      </c>
      <c r="I663" s="5" t="s">
        <v>796</v>
      </c>
      <c r="J663" s="5" t="n">
        <v>4</v>
      </c>
      <c r="K663" s="5"/>
      <c r="L663" s="6"/>
      <c r="M663" s="6"/>
      <c r="N663" s="6"/>
      <c r="O663" s="6"/>
      <c r="P663" s="5" t="str">
        <f aca="false">IF(M663="","",ROUND(M663*IFERROR(INDEX(Weights!$B$2:$B$4,MATCH(G663,Weights!$A$2:$A$4,0)),0)*IFERROR(INDEX(Weights!$B$7:$B$11,MATCH(E663,Weights!$A$7:$A$11,0)),0)*IFERROR(INDEX(Weights!$B$14:$B$17,MATCH(TEXT(J663,"0"),Weights!$A$14:$A$17,0)),0)/(1+N(N663)/50),1))</f>
        <v/>
      </c>
      <c r="Q663" s="5" t="s">
        <v>42</v>
      </c>
    </row>
    <row r="664" customFormat="false" ht="15" hidden="false" customHeight="false" outlineLevel="0" collapsed="false">
      <c r="A664" s="5" t="n">
        <v>663</v>
      </c>
      <c r="B664" s="5" t="s">
        <v>813</v>
      </c>
      <c r="C664" s="5" t="s">
        <v>464</v>
      </c>
      <c r="D664" s="5" t="s">
        <v>36</v>
      </c>
      <c r="E664" s="5" t="s">
        <v>794</v>
      </c>
      <c r="F664" s="5" t="s">
        <v>795</v>
      </c>
      <c r="G664" s="5" t="s">
        <v>39</v>
      </c>
      <c r="H664" s="5" t="s">
        <v>40</v>
      </c>
      <c r="I664" s="5" t="s">
        <v>796</v>
      </c>
      <c r="J664" s="5" t="n">
        <v>4</v>
      </c>
      <c r="K664" s="5"/>
      <c r="L664" s="6"/>
      <c r="M664" s="6"/>
      <c r="N664" s="6"/>
      <c r="O664" s="6"/>
      <c r="P664" s="5" t="str">
        <f aca="false">IF(M664="","",ROUND(M664*IFERROR(INDEX(Weights!$B$2:$B$4,MATCH(G664,Weights!$A$2:$A$4,0)),0)*IFERROR(INDEX(Weights!$B$7:$B$11,MATCH(E664,Weights!$A$7:$A$11,0)),0)*IFERROR(INDEX(Weights!$B$14:$B$17,MATCH(TEXT(J664,"0"),Weights!$A$14:$A$17,0)),0)/(1+N(N664)/50),1))</f>
        <v/>
      </c>
      <c r="Q664" s="5" t="s">
        <v>42</v>
      </c>
    </row>
    <row r="665" customFormat="false" ht="15" hidden="false" customHeight="false" outlineLevel="0" collapsed="false">
      <c r="A665" s="5" t="n">
        <v>664</v>
      </c>
      <c r="B665" s="5" t="s">
        <v>814</v>
      </c>
      <c r="C665" s="5" t="s">
        <v>456</v>
      </c>
      <c r="D665" s="5" t="s">
        <v>36</v>
      </c>
      <c r="E665" s="5" t="s">
        <v>794</v>
      </c>
      <c r="F665" s="5" t="s">
        <v>795</v>
      </c>
      <c r="G665" s="5" t="s">
        <v>39</v>
      </c>
      <c r="H665" s="5" t="s">
        <v>40</v>
      </c>
      <c r="I665" s="5" t="s">
        <v>796</v>
      </c>
      <c r="J665" s="5" t="n">
        <v>4</v>
      </c>
      <c r="K665" s="5"/>
      <c r="L665" s="6"/>
      <c r="M665" s="6"/>
      <c r="N665" s="6"/>
      <c r="O665" s="6"/>
      <c r="P665" s="5" t="str">
        <f aca="false">IF(M665="","",ROUND(M665*IFERROR(INDEX(Weights!$B$2:$B$4,MATCH(G665,Weights!$A$2:$A$4,0)),0)*IFERROR(INDEX(Weights!$B$7:$B$11,MATCH(E665,Weights!$A$7:$A$11,0)),0)*IFERROR(INDEX(Weights!$B$14:$B$17,MATCH(TEXT(J665,"0"),Weights!$A$14:$A$17,0)),0)/(1+N(N665)/50),1))</f>
        <v/>
      </c>
      <c r="Q665" s="5" t="s">
        <v>42</v>
      </c>
    </row>
    <row r="666" customFormat="false" ht="15" hidden="false" customHeight="false" outlineLevel="0" collapsed="false">
      <c r="A666" s="5" t="n">
        <v>665</v>
      </c>
      <c r="B666" s="5" t="s">
        <v>815</v>
      </c>
      <c r="C666" s="5" t="s">
        <v>456</v>
      </c>
      <c r="D666" s="5" t="s">
        <v>36</v>
      </c>
      <c r="E666" s="5" t="s">
        <v>794</v>
      </c>
      <c r="F666" s="5" t="s">
        <v>795</v>
      </c>
      <c r="G666" s="5" t="s">
        <v>39</v>
      </c>
      <c r="H666" s="5" t="s">
        <v>40</v>
      </c>
      <c r="I666" s="5" t="s">
        <v>796</v>
      </c>
      <c r="J666" s="5" t="n">
        <v>4</v>
      </c>
      <c r="K666" s="5"/>
      <c r="L666" s="6"/>
      <c r="M666" s="6"/>
      <c r="N666" s="6"/>
      <c r="O666" s="6"/>
      <c r="P666" s="5" t="str">
        <f aca="false">IF(M666="","",ROUND(M666*IFERROR(INDEX(Weights!$B$2:$B$4,MATCH(G666,Weights!$A$2:$A$4,0)),0)*IFERROR(INDEX(Weights!$B$7:$B$11,MATCH(E666,Weights!$A$7:$A$11,0)),0)*IFERROR(INDEX(Weights!$B$14:$B$17,MATCH(TEXT(J666,"0"),Weights!$A$14:$A$17,0)),0)/(1+N(N666)/50),1))</f>
        <v/>
      </c>
      <c r="Q666" s="5" t="s">
        <v>42</v>
      </c>
    </row>
    <row r="667" customFormat="false" ht="15" hidden="false" customHeight="false" outlineLevel="0" collapsed="false">
      <c r="A667" s="5" t="n">
        <v>666</v>
      </c>
      <c r="B667" s="5" t="s">
        <v>816</v>
      </c>
      <c r="C667" s="5" t="s">
        <v>64</v>
      </c>
      <c r="D667" s="5" t="s">
        <v>36</v>
      </c>
      <c r="E667" s="5" t="s">
        <v>794</v>
      </c>
      <c r="F667" s="5" t="s">
        <v>795</v>
      </c>
      <c r="G667" s="5" t="s">
        <v>39</v>
      </c>
      <c r="H667" s="5" t="s">
        <v>40</v>
      </c>
      <c r="I667" s="5" t="s">
        <v>796</v>
      </c>
      <c r="J667" s="5" t="n">
        <v>4</v>
      </c>
      <c r="K667" s="5"/>
      <c r="L667" s="6"/>
      <c r="M667" s="6"/>
      <c r="N667" s="6"/>
      <c r="O667" s="6"/>
      <c r="P667" s="5" t="str">
        <f aca="false">IF(M667="","",ROUND(M667*IFERROR(INDEX(Weights!$B$2:$B$4,MATCH(G667,Weights!$A$2:$A$4,0)),0)*IFERROR(INDEX(Weights!$B$7:$B$11,MATCH(E667,Weights!$A$7:$A$11,0)),0)*IFERROR(INDEX(Weights!$B$14:$B$17,MATCH(TEXT(J667,"0"),Weights!$A$14:$A$17,0)),0)/(1+N(N667)/50),1))</f>
        <v/>
      </c>
      <c r="Q667" s="5" t="s">
        <v>42</v>
      </c>
    </row>
    <row r="668" customFormat="false" ht="15" hidden="false" customHeight="false" outlineLevel="0" collapsed="false">
      <c r="A668" s="5" t="n">
        <v>667</v>
      </c>
      <c r="B668" s="5" t="s">
        <v>817</v>
      </c>
      <c r="C668" s="5" t="s">
        <v>64</v>
      </c>
      <c r="D668" s="5" t="s">
        <v>36</v>
      </c>
      <c r="E668" s="5" t="s">
        <v>794</v>
      </c>
      <c r="F668" s="5" t="s">
        <v>795</v>
      </c>
      <c r="G668" s="5" t="s">
        <v>39</v>
      </c>
      <c r="H668" s="5" t="s">
        <v>40</v>
      </c>
      <c r="I668" s="5" t="s">
        <v>796</v>
      </c>
      <c r="J668" s="5" t="n">
        <v>4</v>
      </c>
      <c r="K668" s="5"/>
      <c r="L668" s="6"/>
      <c r="M668" s="6"/>
      <c r="N668" s="6"/>
      <c r="O668" s="6"/>
      <c r="P668" s="5" t="str">
        <f aca="false">IF(M668="","",ROUND(M668*IFERROR(INDEX(Weights!$B$2:$B$4,MATCH(G668,Weights!$A$2:$A$4,0)),0)*IFERROR(INDEX(Weights!$B$7:$B$11,MATCH(E668,Weights!$A$7:$A$11,0)),0)*IFERROR(INDEX(Weights!$B$14:$B$17,MATCH(TEXT(J668,"0"),Weights!$A$14:$A$17,0)),0)/(1+N(N668)/50),1))</f>
        <v/>
      </c>
      <c r="Q668" s="5" t="s">
        <v>42</v>
      </c>
    </row>
    <row r="669" customFormat="false" ht="15" hidden="false" customHeight="false" outlineLevel="0" collapsed="false">
      <c r="A669" s="5" t="n">
        <v>668</v>
      </c>
      <c r="B669" s="5" t="s">
        <v>818</v>
      </c>
      <c r="C669" s="5" t="s">
        <v>61</v>
      </c>
      <c r="D669" s="5" t="s">
        <v>36</v>
      </c>
      <c r="E669" s="5" t="s">
        <v>794</v>
      </c>
      <c r="F669" s="5" t="s">
        <v>795</v>
      </c>
      <c r="G669" s="5" t="s">
        <v>39</v>
      </c>
      <c r="H669" s="5" t="s">
        <v>40</v>
      </c>
      <c r="I669" s="5" t="s">
        <v>796</v>
      </c>
      <c r="J669" s="5" t="n">
        <v>4</v>
      </c>
      <c r="K669" s="5"/>
      <c r="L669" s="6"/>
      <c r="M669" s="6"/>
      <c r="N669" s="6"/>
      <c r="O669" s="6"/>
      <c r="P669" s="5" t="str">
        <f aca="false">IF(M669="","",ROUND(M669*IFERROR(INDEX(Weights!$B$2:$B$4,MATCH(G669,Weights!$A$2:$A$4,0)),0)*IFERROR(INDEX(Weights!$B$7:$B$11,MATCH(E669,Weights!$A$7:$A$11,0)),0)*IFERROR(INDEX(Weights!$B$14:$B$17,MATCH(TEXT(J669,"0"),Weights!$A$14:$A$17,0)),0)/(1+N(N669)/50),1))</f>
        <v/>
      </c>
      <c r="Q669" s="5" t="s">
        <v>42</v>
      </c>
    </row>
    <row r="670" customFormat="false" ht="15" hidden="false" customHeight="false" outlineLevel="0" collapsed="false">
      <c r="A670" s="5" t="n">
        <v>669</v>
      </c>
      <c r="B670" s="5" t="s">
        <v>819</v>
      </c>
      <c r="C670" s="5" t="s">
        <v>66</v>
      </c>
      <c r="D670" s="5" t="s">
        <v>36</v>
      </c>
      <c r="E670" s="5" t="s">
        <v>794</v>
      </c>
      <c r="F670" s="5" t="s">
        <v>795</v>
      </c>
      <c r="G670" s="5" t="s">
        <v>39</v>
      </c>
      <c r="H670" s="5" t="s">
        <v>40</v>
      </c>
      <c r="I670" s="5" t="s">
        <v>796</v>
      </c>
      <c r="J670" s="5" t="n">
        <v>4</v>
      </c>
      <c r="K670" s="5"/>
      <c r="L670" s="6"/>
      <c r="M670" s="6"/>
      <c r="N670" s="6"/>
      <c r="O670" s="6"/>
      <c r="P670" s="5" t="str">
        <f aca="false">IF(M670="","",ROUND(M670*IFERROR(INDEX(Weights!$B$2:$B$4,MATCH(G670,Weights!$A$2:$A$4,0)),0)*IFERROR(INDEX(Weights!$B$7:$B$11,MATCH(E670,Weights!$A$7:$A$11,0)),0)*IFERROR(INDEX(Weights!$B$14:$B$17,MATCH(TEXT(J670,"0"),Weights!$A$14:$A$17,0)),0)/(1+N(N670)/50),1))</f>
        <v/>
      </c>
      <c r="Q670" s="5" t="s">
        <v>42</v>
      </c>
    </row>
    <row r="671" customFormat="false" ht="15" hidden="false" customHeight="false" outlineLevel="0" collapsed="false">
      <c r="A671" s="5" t="n">
        <v>670</v>
      </c>
      <c r="B671" s="5" t="s">
        <v>820</v>
      </c>
      <c r="C671" s="5" t="s">
        <v>69</v>
      </c>
      <c r="D671" s="5" t="s">
        <v>36</v>
      </c>
      <c r="E671" s="5" t="s">
        <v>794</v>
      </c>
      <c r="F671" s="5" t="s">
        <v>795</v>
      </c>
      <c r="G671" s="5" t="s">
        <v>39</v>
      </c>
      <c r="H671" s="5" t="s">
        <v>40</v>
      </c>
      <c r="I671" s="5" t="s">
        <v>796</v>
      </c>
      <c r="J671" s="5" t="n">
        <v>4</v>
      </c>
      <c r="K671" s="5"/>
      <c r="L671" s="6"/>
      <c r="M671" s="6"/>
      <c r="N671" s="6"/>
      <c r="O671" s="6"/>
      <c r="P671" s="5" t="str">
        <f aca="false">IF(M671="","",ROUND(M671*IFERROR(INDEX(Weights!$B$2:$B$4,MATCH(G671,Weights!$A$2:$A$4,0)),0)*IFERROR(INDEX(Weights!$B$7:$B$11,MATCH(E671,Weights!$A$7:$A$11,0)),0)*IFERROR(INDEX(Weights!$B$14:$B$17,MATCH(TEXT(J671,"0"),Weights!$A$14:$A$17,0)),0)/(1+N(N671)/50),1))</f>
        <v/>
      </c>
      <c r="Q671" s="5" t="s">
        <v>42</v>
      </c>
    </row>
    <row r="672" customFormat="false" ht="15" hidden="false" customHeight="false" outlineLevel="0" collapsed="false">
      <c r="A672" s="5" t="n">
        <v>671</v>
      </c>
      <c r="B672" s="5" t="s">
        <v>821</v>
      </c>
      <c r="C672" s="5" t="s">
        <v>35</v>
      </c>
      <c r="D672" s="5" t="s">
        <v>36</v>
      </c>
      <c r="E672" s="5" t="s">
        <v>794</v>
      </c>
      <c r="F672" s="5" t="s">
        <v>822</v>
      </c>
      <c r="G672" s="5" t="s">
        <v>39</v>
      </c>
      <c r="H672" s="5" t="s">
        <v>40</v>
      </c>
      <c r="I672" s="5" t="s">
        <v>796</v>
      </c>
      <c r="J672" s="5" t="n">
        <v>4</v>
      </c>
      <c r="K672" s="5"/>
      <c r="L672" s="6"/>
      <c r="M672" s="6"/>
      <c r="N672" s="6"/>
      <c r="O672" s="6"/>
      <c r="P672" s="5" t="str">
        <f aca="false">IF(M672="","",ROUND(M672*IFERROR(INDEX(Weights!$B$2:$B$4,MATCH(G672,Weights!$A$2:$A$4,0)),0)*IFERROR(INDEX(Weights!$B$7:$B$11,MATCH(E672,Weights!$A$7:$A$11,0)),0)*IFERROR(INDEX(Weights!$B$14:$B$17,MATCH(TEXT(J672,"0"),Weights!$A$14:$A$17,0)),0)/(1+N(N672)/50),1))</f>
        <v/>
      </c>
      <c r="Q672" s="5" t="s">
        <v>42</v>
      </c>
    </row>
    <row r="673" customFormat="false" ht="15" hidden="false" customHeight="false" outlineLevel="0" collapsed="false">
      <c r="A673" s="5" t="n">
        <v>672</v>
      </c>
      <c r="B673" s="5" t="s">
        <v>823</v>
      </c>
      <c r="C673" s="5" t="s">
        <v>35</v>
      </c>
      <c r="D673" s="5" t="s">
        <v>36</v>
      </c>
      <c r="E673" s="5" t="s">
        <v>794</v>
      </c>
      <c r="F673" s="5" t="s">
        <v>822</v>
      </c>
      <c r="G673" s="5" t="s">
        <v>39</v>
      </c>
      <c r="H673" s="5" t="s">
        <v>40</v>
      </c>
      <c r="I673" s="5" t="s">
        <v>796</v>
      </c>
      <c r="J673" s="5" t="n">
        <v>4</v>
      </c>
      <c r="K673" s="5"/>
      <c r="L673" s="6"/>
      <c r="M673" s="6"/>
      <c r="N673" s="6"/>
      <c r="O673" s="6"/>
      <c r="P673" s="5" t="str">
        <f aca="false">IF(M673="","",ROUND(M673*IFERROR(INDEX(Weights!$B$2:$B$4,MATCH(G673,Weights!$A$2:$A$4,0)),0)*IFERROR(INDEX(Weights!$B$7:$B$11,MATCH(E673,Weights!$A$7:$A$11,0)),0)*IFERROR(INDEX(Weights!$B$14:$B$17,MATCH(TEXT(J673,"0"),Weights!$A$14:$A$17,0)),0)/(1+N(N673)/50),1))</f>
        <v/>
      </c>
      <c r="Q673" s="5" t="s">
        <v>42</v>
      </c>
    </row>
    <row r="674" customFormat="false" ht="15" hidden="false" customHeight="false" outlineLevel="0" collapsed="false">
      <c r="A674" s="5" t="n">
        <v>673</v>
      </c>
      <c r="B674" s="5" t="s">
        <v>824</v>
      </c>
      <c r="C674" s="5" t="s">
        <v>35</v>
      </c>
      <c r="D674" s="5" t="s">
        <v>36</v>
      </c>
      <c r="E674" s="5" t="s">
        <v>794</v>
      </c>
      <c r="F674" s="5" t="s">
        <v>822</v>
      </c>
      <c r="G674" s="5" t="s">
        <v>39</v>
      </c>
      <c r="H674" s="5" t="s">
        <v>40</v>
      </c>
      <c r="I674" s="5" t="s">
        <v>796</v>
      </c>
      <c r="J674" s="5" t="n">
        <v>4</v>
      </c>
      <c r="K674" s="5"/>
      <c r="L674" s="6"/>
      <c r="M674" s="6"/>
      <c r="N674" s="6"/>
      <c r="O674" s="6"/>
      <c r="P674" s="5" t="str">
        <f aca="false">IF(M674="","",ROUND(M674*IFERROR(INDEX(Weights!$B$2:$B$4,MATCH(G674,Weights!$A$2:$A$4,0)),0)*IFERROR(INDEX(Weights!$B$7:$B$11,MATCH(E674,Weights!$A$7:$A$11,0)),0)*IFERROR(INDEX(Weights!$B$14:$B$17,MATCH(TEXT(J674,"0"),Weights!$A$14:$A$17,0)),0)/(1+N(N674)/50),1))</f>
        <v/>
      </c>
      <c r="Q674" s="5" t="s">
        <v>42</v>
      </c>
    </row>
    <row r="675" customFormat="false" ht="15" hidden="false" customHeight="false" outlineLevel="0" collapsed="false">
      <c r="A675" s="5" t="n">
        <v>674</v>
      </c>
      <c r="B675" s="5" t="s">
        <v>825</v>
      </c>
      <c r="C675" s="5" t="s">
        <v>47</v>
      </c>
      <c r="D675" s="5" t="s">
        <v>36</v>
      </c>
      <c r="E675" s="5" t="s">
        <v>794</v>
      </c>
      <c r="F675" s="5" t="s">
        <v>822</v>
      </c>
      <c r="G675" s="5" t="s">
        <v>39</v>
      </c>
      <c r="H675" s="5" t="s">
        <v>40</v>
      </c>
      <c r="I675" s="5" t="s">
        <v>796</v>
      </c>
      <c r="J675" s="5" t="n">
        <v>4</v>
      </c>
      <c r="K675" s="5"/>
      <c r="L675" s="6"/>
      <c r="M675" s="6"/>
      <c r="N675" s="6"/>
      <c r="O675" s="6"/>
      <c r="P675" s="5" t="str">
        <f aca="false">IF(M675="","",ROUND(M675*IFERROR(INDEX(Weights!$B$2:$B$4,MATCH(G675,Weights!$A$2:$A$4,0)),0)*IFERROR(INDEX(Weights!$B$7:$B$11,MATCH(E675,Weights!$A$7:$A$11,0)),0)*IFERROR(INDEX(Weights!$B$14:$B$17,MATCH(TEXT(J675,"0"),Weights!$A$14:$A$17,0)),0)/(1+N(N675)/50),1))</f>
        <v/>
      </c>
      <c r="Q675" s="5" t="s">
        <v>42</v>
      </c>
    </row>
    <row r="676" customFormat="false" ht="15" hidden="false" customHeight="false" outlineLevel="0" collapsed="false">
      <c r="A676" s="5" t="n">
        <v>675</v>
      </c>
      <c r="B676" s="5" t="s">
        <v>826</v>
      </c>
      <c r="C676" s="5" t="s">
        <v>47</v>
      </c>
      <c r="D676" s="5" t="s">
        <v>36</v>
      </c>
      <c r="E676" s="5" t="s">
        <v>794</v>
      </c>
      <c r="F676" s="5" t="s">
        <v>822</v>
      </c>
      <c r="G676" s="5" t="s">
        <v>39</v>
      </c>
      <c r="H676" s="5" t="s">
        <v>40</v>
      </c>
      <c r="I676" s="5" t="s">
        <v>796</v>
      </c>
      <c r="J676" s="5" t="n">
        <v>4</v>
      </c>
      <c r="K676" s="5"/>
      <c r="L676" s="6"/>
      <c r="M676" s="6"/>
      <c r="N676" s="6"/>
      <c r="O676" s="6"/>
      <c r="P676" s="5" t="str">
        <f aca="false">IF(M676="","",ROUND(M676*IFERROR(INDEX(Weights!$B$2:$B$4,MATCH(G676,Weights!$A$2:$A$4,0)),0)*IFERROR(INDEX(Weights!$B$7:$B$11,MATCH(E676,Weights!$A$7:$A$11,0)),0)*IFERROR(INDEX(Weights!$B$14:$B$17,MATCH(TEXT(J676,"0"),Weights!$A$14:$A$17,0)),0)/(1+N(N676)/50),1))</f>
        <v/>
      </c>
      <c r="Q676" s="5" t="s">
        <v>42</v>
      </c>
    </row>
    <row r="677" customFormat="false" ht="15" hidden="false" customHeight="false" outlineLevel="0" collapsed="false">
      <c r="A677" s="5" t="n">
        <v>676</v>
      </c>
      <c r="B677" s="5" t="s">
        <v>827</v>
      </c>
      <c r="C677" s="5" t="s">
        <v>47</v>
      </c>
      <c r="D677" s="5" t="s">
        <v>36</v>
      </c>
      <c r="E677" s="5" t="s">
        <v>794</v>
      </c>
      <c r="F677" s="5" t="s">
        <v>822</v>
      </c>
      <c r="G677" s="5" t="s">
        <v>39</v>
      </c>
      <c r="H677" s="5" t="s">
        <v>40</v>
      </c>
      <c r="I677" s="5" t="s">
        <v>796</v>
      </c>
      <c r="J677" s="5" t="n">
        <v>4</v>
      </c>
      <c r="K677" s="5"/>
      <c r="L677" s="6"/>
      <c r="M677" s="6"/>
      <c r="N677" s="6"/>
      <c r="O677" s="6"/>
      <c r="P677" s="5" t="str">
        <f aca="false">IF(M677="","",ROUND(M677*IFERROR(INDEX(Weights!$B$2:$B$4,MATCH(G677,Weights!$A$2:$A$4,0)),0)*IFERROR(INDEX(Weights!$B$7:$B$11,MATCH(E677,Weights!$A$7:$A$11,0)),0)*IFERROR(INDEX(Weights!$B$14:$B$17,MATCH(TEXT(J677,"0"),Weights!$A$14:$A$17,0)),0)/(1+N(N677)/50),1))</f>
        <v/>
      </c>
      <c r="Q677" s="5" t="s">
        <v>42</v>
      </c>
    </row>
    <row r="678" customFormat="false" ht="15" hidden="false" customHeight="false" outlineLevel="0" collapsed="false">
      <c r="A678" s="5" t="n">
        <v>677</v>
      </c>
      <c r="B678" s="5" t="s">
        <v>828</v>
      </c>
      <c r="C678" s="5" t="s">
        <v>47</v>
      </c>
      <c r="D678" s="5" t="s">
        <v>36</v>
      </c>
      <c r="E678" s="5" t="s">
        <v>794</v>
      </c>
      <c r="F678" s="5" t="s">
        <v>822</v>
      </c>
      <c r="G678" s="5" t="s">
        <v>39</v>
      </c>
      <c r="H678" s="5" t="s">
        <v>40</v>
      </c>
      <c r="I678" s="5" t="s">
        <v>796</v>
      </c>
      <c r="J678" s="5" t="n">
        <v>4</v>
      </c>
      <c r="K678" s="5"/>
      <c r="L678" s="6"/>
      <c r="M678" s="6"/>
      <c r="N678" s="6"/>
      <c r="O678" s="6"/>
      <c r="P678" s="5" t="str">
        <f aca="false">IF(M678="","",ROUND(M678*IFERROR(INDEX(Weights!$B$2:$B$4,MATCH(G678,Weights!$A$2:$A$4,0)),0)*IFERROR(INDEX(Weights!$B$7:$B$11,MATCH(E678,Weights!$A$7:$A$11,0)),0)*IFERROR(INDEX(Weights!$B$14:$B$17,MATCH(TEXT(J678,"0"),Weights!$A$14:$A$17,0)),0)/(1+N(N678)/50),1))</f>
        <v/>
      </c>
      <c r="Q678" s="5" t="s">
        <v>42</v>
      </c>
    </row>
    <row r="679" customFormat="false" ht="15" hidden="false" customHeight="false" outlineLevel="0" collapsed="false">
      <c r="A679" s="5" t="n">
        <v>678</v>
      </c>
      <c r="B679" s="5" t="s">
        <v>829</v>
      </c>
      <c r="C679" s="5" t="s">
        <v>51</v>
      </c>
      <c r="D679" s="5" t="s">
        <v>36</v>
      </c>
      <c r="E679" s="5" t="s">
        <v>794</v>
      </c>
      <c r="F679" s="5" t="s">
        <v>822</v>
      </c>
      <c r="G679" s="5" t="s">
        <v>39</v>
      </c>
      <c r="H679" s="5" t="s">
        <v>40</v>
      </c>
      <c r="I679" s="5" t="s">
        <v>796</v>
      </c>
      <c r="J679" s="5" t="n">
        <v>4</v>
      </c>
      <c r="K679" s="5"/>
      <c r="L679" s="6"/>
      <c r="M679" s="6"/>
      <c r="N679" s="6"/>
      <c r="O679" s="6"/>
      <c r="P679" s="5" t="str">
        <f aca="false">IF(M679="","",ROUND(M679*IFERROR(INDEX(Weights!$B$2:$B$4,MATCH(G679,Weights!$A$2:$A$4,0)),0)*IFERROR(INDEX(Weights!$B$7:$B$11,MATCH(E679,Weights!$A$7:$A$11,0)),0)*IFERROR(INDEX(Weights!$B$14:$B$17,MATCH(TEXT(J679,"0"),Weights!$A$14:$A$17,0)),0)/(1+N(N679)/50),1))</f>
        <v/>
      </c>
      <c r="Q679" s="5" t="s">
        <v>42</v>
      </c>
    </row>
    <row r="680" customFormat="false" ht="15" hidden="false" customHeight="false" outlineLevel="0" collapsed="false">
      <c r="A680" s="5" t="n">
        <v>679</v>
      </c>
      <c r="B680" s="5" t="s">
        <v>830</v>
      </c>
      <c r="C680" s="5" t="s">
        <v>51</v>
      </c>
      <c r="D680" s="5" t="s">
        <v>36</v>
      </c>
      <c r="E680" s="5" t="s">
        <v>794</v>
      </c>
      <c r="F680" s="5" t="s">
        <v>822</v>
      </c>
      <c r="G680" s="5" t="s">
        <v>39</v>
      </c>
      <c r="H680" s="5" t="s">
        <v>40</v>
      </c>
      <c r="I680" s="5" t="s">
        <v>796</v>
      </c>
      <c r="J680" s="5" t="n">
        <v>4</v>
      </c>
      <c r="K680" s="5"/>
      <c r="L680" s="6"/>
      <c r="M680" s="6"/>
      <c r="N680" s="6"/>
      <c r="O680" s="6"/>
      <c r="P680" s="5" t="str">
        <f aca="false">IF(M680="","",ROUND(M680*IFERROR(INDEX(Weights!$B$2:$B$4,MATCH(G680,Weights!$A$2:$A$4,0)),0)*IFERROR(INDEX(Weights!$B$7:$B$11,MATCH(E680,Weights!$A$7:$A$11,0)),0)*IFERROR(INDEX(Weights!$B$14:$B$17,MATCH(TEXT(J680,"0"),Weights!$A$14:$A$17,0)),0)/(1+N(N680)/50),1))</f>
        <v/>
      </c>
      <c r="Q680" s="5" t="s">
        <v>42</v>
      </c>
    </row>
    <row r="681" customFormat="false" ht="15" hidden="false" customHeight="false" outlineLevel="0" collapsed="false">
      <c r="A681" s="5" t="n">
        <v>680</v>
      </c>
      <c r="B681" s="5" t="s">
        <v>831</v>
      </c>
      <c r="C681" s="5" t="s">
        <v>51</v>
      </c>
      <c r="D681" s="5" t="s">
        <v>36</v>
      </c>
      <c r="E681" s="5" t="s">
        <v>794</v>
      </c>
      <c r="F681" s="5" t="s">
        <v>822</v>
      </c>
      <c r="G681" s="5" t="s">
        <v>39</v>
      </c>
      <c r="H681" s="5" t="s">
        <v>40</v>
      </c>
      <c r="I681" s="5" t="s">
        <v>796</v>
      </c>
      <c r="J681" s="5" t="n">
        <v>4</v>
      </c>
      <c r="K681" s="5"/>
      <c r="L681" s="6"/>
      <c r="M681" s="6"/>
      <c r="N681" s="6"/>
      <c r="O681" s="6"/>
      <c r="P681" s="5" t="str">
        <f aca="false">IF(M681="","",ROUND(M681*IFERROR(INDEX(Weights!$B$2:$B$4,MATCH(G681,Weights!$A$2:$A$4,0)),0)*IFERROR(INDEX(Weights!$B$7:$B$11,MATCH(E681,Weights!$A$7:$A$11,0)),0)*IFERROR(INDEX(Weights!$B$14:$B$17,MATCH(TEXT(J681,"0"),Weights!$A$14:$A$17,0)),0)/(1+N(N681)/50),1))</f>
        <v/>
      </c>
      <c r="Q681" s="5" t="s">
        <v>42</v>
      </c>
    </row>
    <row r="682" customFormat="false" ht="15" hidden="false" customHeight="false" outlineLevel="0" collapsed="false">
      <c r="A682" s="5" t="n">
        <v>681</v>
      </c>
      <c r="B682" s="5" t="s">
        <v>832</v>
      </c>
      <c r="C682" s="5" t="s">
        <v>54</v>
      </c>
      <c r="D682" s="5" t="s">
        <v>36</v>
      </c>
      <c r="E682" s="5" t="s">
        <v>794</v>
      </c>
      <c r="F682" s="5" t="s">
        <v>822</v>
      </c>
      <c r="G682" s="5" t="s">
        <v>39</v>
      </c>
      <c r="H682" s="5" t="s">
        <v>40</v>
      </c>
      <c r="I682" s="5" t="s">
        <v>796</v>
      </c>
      <c r="J682" s="5" t="n">
        <v>4</v>
      </c>
      <c r="K682" s="5"/>
      <c r="L682" s="6"/>
      <c r="M682" s="6"/>
      <c r="N682" s="6"/>
      <c r="O682" s="6"/>
      <c r="P682" s="5" t="str">
        <f aca="false">IF(M682="","",ROUND(M682*IFERROR(INDEX(Weights!$B$2:$B$4,MATCH(G682,Weights!$A$2:$A$4,0)),0)*IFERROR(INDEX(Weights!$B$7:$B$11,MATCH(E682,Weights!$A$7:$A$11,0)),0)*IFERROR(INDEX(Weights!$B$14:$B$17,MATCH(TEXT(J682,"0"),Weights!$A$14:$A$17,0)),0)/(1+N(N682)/50),1))</f>
        <v/>
      </c>
      <c r="Q682" s="5" t="s">
        <v>42</v>
      </c>
    </row>
    <row r="683" customFormat="false" ht="15" hidden="false" customHeight="false" outlineLevel="0" collapsed="false">
      <c r="A683" s="5" t="n">
        <v>682</v>
      </c>
      <c r="B683" s="5" t="s">
        <v>833</v>
      </c>
      <c r="C683" s="5" t="s">
        <v>54</v>
      </c>
      <c r="D683" s="5" t="s">
        <v>36</v>
      </c>
      <c r="E683" s="5" t="s">
        <v>794</v>
      </c>
      <c r="F683" s="5" t="s">
        <v>822</v>
      </c>
      <c r="G683" s="5" t="s">
        <v>39</v>
      </c>
      <c r="H683" s="5" t="s">
        <v>40</v>
      </c>
      <c r="I683" s="5" t="s">
        <v>796</v>
      </c>
      <c r="J683" s="5" t="n">
        <v>4</v>
      </c>
      <c r="K683" s="5"/>
      <c r="L683" s="6"/>
      <c r="M683" s="6"/>
      <c r="N683" s="6"/>
      <c r="O683" s="6"/>
      <c r="P683" s="5" t="str">
        <f aca="false">IF(M683="","",ROUND(M683*IFERROR(INDEX(Weights!$B$2:$B$4,MATCH(G683,Weights!$A$2:$A$4,0)),0)*IFERROR(INDEX(Weights!$B$7:$B$11,MATCH(E683,Weights!$A$7:$A$11,0)),0)*IFERROR(INDEX(Weights!$B$14:$B$17,MATCH(TEXT(J683,"0"),Weights!$A$14:$A$17,0)),0)/(1+N(N683)/50),1))</f>
        <v/>
      </c>
      <c r="Q683" s="5" t="s">
        <v>42</v>
      </c>
    </row>
    <row r="684" customFormat="false" ht="15" hidden="false" customHeight="false" outlineLevel="0" collapsed="false">
      <c r="A684" s="5" t="n">
        <v>683</v>
      </c>
      <c r="B684" s="5" t="s">
        <v>834</v>
      </c>
      <c r="C684" s="5" t="s">
        <v>57</v>
      </c>
      <c r="D684" s="5" t="s">
        <v>36</v>
      </c>
      <c r="E684" s="5" t="s">
        <v>794</v>
      </c>
      <c r="F684" s="5" t="s">
        <v>822</v>
      </c>
      <c r="G684" s="5" t="s">
        <v>39</v>
      </c>
      <c r="H684" s="5" t="s">
        <v>40</v>
      </c>
      <c r="I684" s="5" t="s">
        <v>796</v>
      </c>
      <c r="J684" s="5" t="n">
        <v>4</v>
      </c>
      <c r="K684" s="5"/>
      <c r="L684" s="6"/>
      <c r="M684" s="6"/>
      <c r="N684" s="6"/>
      <c r="O684" s="6"/>
      <c r="P684" s="5" t="str">
        <f aca="false">IF(M684="","",ROUND(M684*IFERROR(INDEX(Weights!$B$2:$B$4,MATCH(G684,Weights!$A$2:$A$4,0)),0)*IFERROR(INDEX(Weights!$B$7:$B$11,MATCH(E684,Weights!$A$7:$A$11,0)),0)*IFERROR(INDEX(Weights!$B$14:$B$17,MATCH(TEXT(J684,"0"),Weights!$A$14:$A$17,0)),0)/(1+N(N684)/50),1))</f>
        <v/>
      </c>
      <c r="Q684" s="5" t="s">
        <v>42</v>
      </c>
    </row>
    <row r="685" customFormat="false" ht="15" hidden="false" customHeight="false" outlineLevel="0" collapsed="false">
      <c r="A685" s="5" t="n">
        <v>684</v>
      </c>
      <c r="B685" s="5" t="s">
        <v>835</v>
      </c>
      <c r="C685" s="5" t="s">
        <v>57</v>
      </c>
      <c r="D685" s="5" t="s">
        <v>36</v>
      </c>
      <c r="E685" s="5" t="s">
        <v>794</v>
      </c>
      <c r="F685" s="5" t="s">
        <v>822</v>
      </c>
      <c r="G685" s="5" t="s">
        <v>39</v>
      </c>
      <c r="H685" s="5" t="s">
        <v>40</v>
      </c>
      <c r="I685" s="5" t="s">
        <v>796</v>
      </c>
      <c r="J685" s="5" t="n">
        <v>4</v>
      </c>
      <c r="K685" s="5"/>
      <c r="L685" s="6"/>
      <c r="M685" s="6"/>
      <c r="N685" s="6"/>
      <c r="O685" s="6"/>
      <c r="P685" s="5" t="str">
        <f aca="false">IF(M685="","",ROUND(M685*IFERROR(INDEX(Weights!$B$2:$B$4,MATCH(G685,Weights!$A$2:$A$4,0)),0)*IFERROR(INDEX(Weights!$B$7:$B$11,MATCH(E685,Weights!$A$7:$A$11,0)),0)*IFERROR(INDEX(Weights!$B$14:$B$17,MATCH(TEXT(J685,"0"),Weights!$A$14:$A$17,0)),0)/(1+N(N685)/50),1))</f>
        <v/>
      </c>
      <c r="Q685" s="5" t="s">
        <v>42</v>
      </c>
    </row>
    <row r="686" customFormat="false" ht="15" hidden="false" customHeight="false" outlineLevel="0" collapsed="false">
      <c r="A686" s="5" t="n">
        <v>685</v>
      </c>
      <c r="B686" s="5" t="s">
        <v>836</v>
      </c>
      <c r="C686" s="5" t="s">
        <v>57</v>
      </c>
      <c r="D686" s="5" t="s">
        <v>36</v>
      </c>
      <c r="E686" s="5" t="s">
        <v>794</v>
      </c>
      <c r="F686" s="5" t="s">
        <v>822</v>
      </c>
      <c r="G686" s="5" t="s">
        <v>39</v>
      </c>
      <c r="H686" s="5" t="s">
        <v>40</v>
      </c>
      <c r="I686" s="5" t="s">
        <v>796</v>
      </c>
      <c r="J686" s="5" t="n">
        <v>4</v>
      </c>
      <c r="K686" s="5"/>
      <c r="L686" s="6"/>
      <c r="M686" s="6"/>
      <c r="N686" s="6"/>
      <c r="O686" s="6"/>
      <c r="P686" s="5" t="str">
        <f aca="false">IF(M686="","",ROUND(M686*IFERROR(INDEX(Weights!$B$2:$B$4,MATCH(G686,Weights!$A$2:$A$4,0)),0)*IFERROR(INDEX(Weights!$B$7:$B$11,MATCH(E686,Weights!$A$7:$A$11,0)),0)*IFERROR(INDEX(Weights!$B$14:$B$17,MATCH(TEXT(J686,"0"),Weights!$A$14:$A$17,0)),0)/(1+N(N686)/50),1))</f>
        <v/>
      </c>
      <c r="Q686" s="5" t="s">
        <v>42</v>
      </c>
    </row>
    <row r="687" customFormat="false" ht="15" hidden="false" customHeight="false" outlineLevel="0" collapsed="false">
      <c r="A687" s="5" t="n">
        <v>686</v>
      </c>
      <c r="B687" s="5" t="s">
        <v>837</v>
      </c>
      <c r="C687" s="5" t="s">
        <v>464</v>
      </c>
      <c r="D687" s="5" t="s">
        <v>36</v>
      </c>
      <c r="E687" s="5" t="s">
        <v>794</v>
      </c>
      <c r="F687" s="5" t="s">
        <v>822</v>
      </c>
      <c r="G687" s="5" t="s">
        <v>39</v>
      </c>
      <c r="H687" s="5" t="s">
        <v>40</v>
      </c>
      <c r="I687" s="5" t="s">
        <v>796</v>
      </c>
      <c r="J687" s="5" t="n">
        <v>4</v>
      </c>
      <c r="K687" s="5"/>
      <c r="L687" s="6"/>
      <c r="M687" s="6"/>
      <c r="N687" s="6"/>
      <c r="O687" s="6"/>
      <c r="P687" s="5" t="str">
        <f aca="false">IF(M687="","",ROUND(M687*IFERROR(INDEX(Weights!$B$2:$B$4,MATCH(G687,Weights!$A$2:$A$4,0)),0)*IFERROR(INDEX(Weights!$B$7:$B$11,MATCH(E687,Weights!$A$7:$A$11,0)),0)*IFERROR(INDEX(Weights!$B$14:$B$17,MATCH(TEXT(J687,"0"),Weights!$A$14:$A$17,0)),0)/(1+N(N687)/50),1))</f>
        <v/>
      </c>
      <c r="Q687" s="5" t="s">
        <v>42</v>
      </c>
    </row>
    <row r="688" customFormat="false" ht="15" hidden="false" customHeight="false" outlineLevel="0" collapsed="false">
      <c r="A688" s="5" t="n">
        <v>687</v>
      </c>
      <c r="B688" s="5" t="s">
        <v>838</v>
      </c>
      <c r="C688" s="5" t="s">
        <v>464</v>
      </c>
      <c r="D688" s="5" t="s">
        <v>36</v>
      </c>
      <c r="E688" s="5" t="s">
        <v>794</v>
      </c>
      <c r="F688" s="5" t="s">
        <v>822</v>
      </c>
      <c r="G688" s="5" t="s">
        <v>39</v>
      </c>
      <c r="H688" s="5" t="s">
        <v>40</v>
      </c>
      <c r="I688" s="5" t="s">
        <v>796</v>
      </c>
      <c r="J688" s="5" t="n">
        <v>4</v>
      </c>
      <c r="K688" s="5"/>
      <c r="L688" s="6"/>
      <c r="M688" s="6"/>
      <c r="N688" s="6"/>
      <c r="O688" s="6"/>
      <c r="P688" s="5" t="str">
        <f aca="false">IF(M688="","",ROUND(M688*IFERROR(INDEX(Weights!$B$2:$B$4,MATCH(G688,Weights!$A$2:$A$4,0)),0)*IFERROR(INDEX(Weights!$B$7:$B$11,MATCH(E688,Weights!$A$7:$A$11,0)),0)*IFERROR(INDEX(Weights!$B$14:$B$17,MATCH(TEXT(J688,"0"),Weights!$A$14:$A$17,0)),0)/(1+N(N688)/50),1))</f>
        <v/>
      </c>
      <c r="Q688" s="5" t="s">
        <v>42</v>
      </c>
    </row>
    <row r="689" customFormat="false" ht="15" hidden="false" customHeight="false" outlineLevel="0" collapsed="false">
      <c r="A689" s="5" t="n">
        <v>688</v>
      </c>
      <c r="B689" s="5" t="s">
        <v>839</v>
      </c>
      <c r="C689" s="5" t="s">
        <v>464</v>
      </c>
      <c r="D689" s="5" t="s">
        <v>36</v>
      </c>
      <c r="E689" s="5" t="s">
        <v>794</v>
      </c>
      <c r="F689" s="5" t="s">
        <v>822</v>
      </c>
      <c r="G689" s="5" t="s">
        <v>39</v>
      </c>
      <c r="H689" s="5" t="s">
        <v>40</v>
      </c>
      <c r="I689" s="5" t="s">
        <v>796</v>
      </c>
      <c r="J689" s="5" t="n">
        <v>4</v>
      </c>
      <c r="K689" s="5"/>
      <c r="L689" s="6"/>
      <c r="M689" s="6"/>
      <c r="N689" s="6"/>
      <c r="O689" s="6"/>
      <c r="P689" s="5" t="str">
        <f aca="false">IF(M689="","",ROUND(M689*IFERROR(INDEX(Weights!$B$2:$B$4,MATCH(G689,Weights!$A$2:$A$4,0)),0)*IFERROR(INDEX(Weights!$B$7:$B$11,MATCH(E689,Weights!$A$7:$A$11,0)),0)*IFERROR(INDEX(Weights!$B$14:$B$17,MATCH(TEXT(J689,"0"),Weights!$A$14:$A$17,0)),0)/(1+N(N689)/50),1))</f>
        <v/>
      </c>
      <c r="Q689" s="5" t="s">
        <v>42</v>
      </c>
    </row>
    <row r="690" customFormat="false" ht="15" hidden="false" customHeight="false" outlineLevel="0" collapsed="false">
      <c r="A690" s="5" t="n">
        <v>689</v>
      </c>
      <c r="B690" s="5" t="s">
        <v>840</v>
      </c>
      <c r="C690" s="5" t="s">
        <v>456</v>
      </c>
      <c r="D690" s="5" t="s">
        <v>36</v>
      </c>
      <c r="E690" s="5" t="s">
        <v>794</v>
      </c>
      <c r="F690" s="5" t="s">
        <v>822</v>
      </c>
      <c r="G690" s="5" t="s">
        <v>39</v>
      </c>
      <c r="H690" s="5" t="s">
        <v>40</v>
      </c>
      <c r="I690" s="5" t="s">
        <v>796</v>
      </c>
      <c r="J690" s="5" t="n">
        <v>4</v>
      </c>
      <c r="K690" s="5"/>
      <c r="L690" s="6"/>
      <c r="M690" s="6"/>
      <c r="N690" s="6"/>
      <c r="O690" s="6"/>
      <c r="P690" s="5" t="str">
        <f aca="false">IF(M690="","",ROUND(M690*IFERROR(INDEX(Weights!$B$2:$B$4,MATCH(G690,Weights!$A$2:$A$4,0)),0)*IFERROR(INDEX(Weights!$B$7:$B$11,MATCH(E690,Weights!$A$7:$A$11,0)),0)*IFERROR(INDEX(Weights!$B$14:$B$17,MATCH(TEXT(J690,"0"),Weights!$A$14:$A$17,0)),0)/(1+N(N690)/50),1))</f>
        <v/>
      </c>
      <c r="Q690" s="5" t="s">
        <v>42</v>
      </c>
    </row>
    <row r="691" customFormat="false" ht="15" hidden="false" customHeight="false" outlineLevel="0" collapsed="false">
      <c r="A691" s="5" t="n">
        <v>690</v>
      </c>
      <c r="B691" s="5" t="s">
        <v>841</v>
      </c>
      <c r="C691" s="5" t="s">
        <v>456</v>
      </c>
      <c r="D691" s="5" t="s">
        <v>36</v>
      </c>
      <c r="E691" s="5" t="s">
        <v>794</v>
      </c>
      <c r="F691" s="5" t="s">
        <v>822</v>
      </c>
      <c r="G691" s="5" t="s">
        <v>39</v>
      </c>
      <c r="H691" s="5" t="s">
        <v>40</v>
      </c>
      <c r="I691" s="5" t="s">
        <v>796</v>
      </c>
      <c r="J691" s="5" t="n">
        <v>4</v>
      </c>
      <c r="K691" s="5"/>
      <c r="L691" s="6"/>
      <c r="M691" s="6"/>
      <c r="N691" s="6"/>
      <c r="O691" s="6"/>
      <c r="P691" s="5" t="str">
        <f aca="false">IF(M691="","",ROUND(M691*IFERROR(INDEX(Weights!$B$2:$B$4,MATCH(G691,Weights!$A$2:$A$4,0)),0)*IFERROR(INDEX(Weights!$B$7:$B$11,MATCH(E691,Weights!$A$7:$A$11,0)),0)*IFERROR(INDEX(Weights!$B$14:$B$17,MATCH(TEXT(J691,"0"),Weights!$A$14:$A$17,0)),0)/(1+N(N691)/50),1))</f>
        <v/>
      </c>
      <c r="Q691" s="5" t="s">
        <v>42</v>
      </c>
    </row>
    <row r="692" customFormat="false" ht="15" hidden="false" customHeight="false" outlineLevel="0" collapsed="false">
      <c r="A692" s="5" t="n">
        <v>691</v>
      </c>
      <c r="B692" s="5" t="s">
        <v>842</v>
      </c>
      <c r="C692" s="5" t="s">
        <v>64</v>
      </c>
      <c r="D692" s="5" t="s">
        <v>36</v>
      </c>
      <c r="E692" s="5" t="s">
        <v>794</v>
      </c>
      <c r="F692" s="5" t="s">
        <v>822</v>
      </c>
      <c r="G692" s="5" t="s">
        <v>39</v>
      </c>
      <c r="H692" s="5" t="s">
        <v>40</v>
      </c>
      <c r="I692" s="5" t="s">
        <v>796</v>
      </c>
      <c r="J692" s="5" t="n">
        <v>4</v>
      </c>
      <c r="K692" s="5"/>
      <c r="L692" s="6"/>
      <c r="M692" s="6"/>
      <c r="N692" s="6"/>
      <c r="O692" s="6"/>
      <c r="P692" s="5" t="str">
        <f aca="false">IF(M692="","",ROUND(M692*IFERROR(INDEX(Weights!$B$2:$B$4,MATCH(G692,Weights!$A$2:$A$4,0)),0)*IFERROR(INDEX(Weights!$B$7:$B$11,MATCH(E692,Weights!$A$7:$A$11,0)),0)*IFERROR(INDEX(Weights!$B$14:$B$17,MATCH(TEXT(J692,"0"),Weights!$A$14:$A$17,0)),0)/(1+N(N692)/50),1))</f>
        <v/>
      </c>
      <c r="Q692" s="5" t="s">
        <v>42</v>
      </c>
    </row>
    <row r="693" customFormat="false" ht="15" hidden="false" customHeight="false" outlineLevel="0" collapsed="false">
      <c r="A693" s="5" t="n">
        <v>692</v>
      </c>
      <c r="B693" s="5" t="s">
        <v>843</v>
      </c>
      <c r="C693" s="5" t="s">
        <v>64</v>
      </c>
      <c r="D693" s="5" t="s">
        <v>36</v>
      </c>
      <c r="E693" s="5" t="s">
        <v>794</v>
      </c>
      <c r="F693" s="5" t="s">
        <v>822</v>
      </c>
      <c r="G693" s="5" t="s">
        <v>39</v>
      </c>
      <c r="H693" s="5" t="s">
        <v>40</v>
      </c>
      <c r="I693" s="5" t="s">
        <v>796</v>
      </c>
      <c r="J693" s="5" t="n">
        <v>4</v>
      </c>
      <c r="K693" s="5"/>
      <c r="L693" s="6"/>
      <c r="M693" s="6"/>
      <c r="N693" s="6"/>
      <c r="O693" s="6"/>
      <c r="P693" s="5" t="str">
        <f aca="false">IF(M693="","",ROUND(M693*IFERROR(INDEX(Weights!$B$2:$B$4,MATCH(G693,Weights!$A$2:$A$4,0)),0)*IFERROR(INDEX(Weights!$B$7:$B$11,MATCH(E693,Weights!$A$7:$A$11,0)),0)*IFERROR(INDEX(Weights!$B$14:$B$17,MATCH(TEXT(J693,"0"),Weights!$A$14:$A$17,0)),0)/(1+N(N693)/50),1))</f>
        <v/>
      </c>
      <c r="Q693" s="5" t="s">
        <v>42</v>
      </c>
    </row>
    <row r="694" customFormat="false" ht="15" hidden="false" customHeight="false" outlineLevel="0" collapsed="false">
      <c r="A694" s="5" t="n">
        <v>693</v>
      </c>
      <c r="B694" s="5" t="s">
        <v>844</v>
      </c>
      <c r="C694" s="5" t="s">
        <v>61</v>
      </c>
      <c r="D694" s="5" t="s">
        <v>36</v>
      </c>
      <c r="E694" s="5" t="s">
        <v>794</v>
      </c>
      <c r="F694" s="5" t="s">
        <v>822</v>
      </c>
      <c r="G694" s="5" t="s">
        <v>39</v>
      </c>
      <c r="H694" s="5" t="s">
        <v>40</v>
      </c>
      <c r="I694" s="5" t="s">
        <v>796</v>
      </c>
      <c r="J694" s="5" t="n">
        <v>4</v>
      </c>
      <c r="K694" s="5"/>
      <c r="L694" s="6"/>
      <c r="M694" s="6"/>
      <c r="N694" s="6"/>
      <c r="O694" s="6"/>
      <c r="P694" s="5" t="str">
        <f aca="false">IF(M694="","",ROUND(M694*IFERROR(INDEX(Weights!$B$2:$B$4,MATCH(G694,Weights!$A$2:$A$4,0)),0)*IFERROR(INDEX(Weights!$B$7:$B$11,MATCH(E694,Weights!$A$7:$A$11,0)),0)*IFERROR(INDEX(Weights!$B$14:$B$17,MATCH(TEXT(J694,"0"),Weights!$A$14:$A$17,0)),0)/(1+N(N694)/50),1))</f>
        <v/>
      </c>
      <c r="Q694" s="5" t="s">
        <v>42</v>
      </c>
    </row>
    <row r="695" customFormat="false" ht="15" hidden="false" customHeight="false" outlineLevel="0" collapsed="false">
      <c r="A695" s="5" t="n">
        <v>694</v>
      </c>
      <c r="B695" s="5" t="s">
        <v>845</v>
      </c>
      <c r="C695" s="5" t="s">
        <v>66</v>
      </c>
      <c r="D695" s="5" t="s">
        <v>36</v>
      </c>
      <c r="E695" s="5" t="s">
        <v>794</v>
      </c>
      <c r="F695" s="5" t="s">
        <v>822</v>
      </c>
      <c r="G695" s="5" t="s">
        <v>39</v>
      </c>
      <c r="H695" s="5" t="s">
        <v>40</v>
      </c>
      <c r="I695" s="5" t="s">
        <v>796</v>
      </c>
      <c r="J695" s="5" t="n">
        <v>4</v>
      </c>
      <c r="K695" s="5"/>
      <c r="L695" s="6"/>
      <c r="M695" s="6"/>
      <c r="N695" s="6"/>
      <c r="O695" s="6"/>
      <c r="P695" s="5" t="str">
        <f aca="false">IF(M695="","",ROUND(M695*IFERROR(INDEX(Weights!$B$2:$B$4,MATCH(G695,Weights!$A$2:$A$4,0)),0)*IFERROR(INDEX(Weights!$B$7:$B$11,MATCH(E695,Weights!$A$7:$A$11,0)),0)*IFERROR(INDEX(Weights!$B$14:$B$17,MATCH(TEXT(J695,"0"),Weights!$A$14:$A$17,0)),0)/(1+N(N695)/50),1))</f>
        <v/>
      </c>
      <c r="Q695" s="5" t="s">
        <v>42</v>
      </c>
    </row>
    <row r="696" customFormat="false" ht="15" hidden="false" customHeight="false" outlineLevel="0" collapsed="false">
      <c r="A696" s="5" t="n">
        <v>695</v>
      </c>
      <c r="B696" s="5" t="s">
        <v>846</v>
      </c>
      <c r="C696" s="5" t="s">
        <v>69</v>
      </c>
      <c r="D696" s="5" t="s">
        <v>36</v>
      </c>
      <c r="E696" s="5" t="s">
        <v>794</v>
      </c>
      <c r="F696" s="5" t="s">
        <v>822</v>
      </c>
      <c r="G696" s="5" t="s">
        <v>39</v>
      </c>
      <c r="H696" s="5" t="s">
        <v>40</v>
      </c>
      <c r="I696" s="5" t="s">
        <v>796</v>
      </c>
      <c r="J696" s="5" t="n">
        <v>4</v>
      </c>
      <c r="K696" s="5"/>
      <c r="L696" s="6"/>
      <c r="M696" s="6"/>
      <c r="N696" s="6"/>
      <c r="O696" s="6"/>
      <c r="P696" s="5" t="str">
        <f aca="false">IF(M696="","",ROUND(M696*IFERROR(INDEX(Weights!$B$2:$B$4,MATCH(G696,Weights!$A$2:$A$4,0)),0)*IFERROR(INDEX(Weights!$B$7:$B$11,MATCH(E696,Weights!$A$7:$A$11,0)),0)*IFERROR(INDEX(Weights!$B$14:$B$17,MATCH(TEXT(J696,"0"),Weights!$A$14:$A$17,0)),0)/(1+N(N696)/50),1))</f>
        <v/>
      </c>
      <c r="Q696" s="5" t="s">
        <v>42</v>
      </c>
    </row>
    <row r="697" customFormat="false" ht="15" hidden="false" customHeight="false" outlineLevel="0" collapsed="false">
      <c r="A697" s="5" t="n">
        <v>696</v>
      </c>
      <c r="B697" s="5" t="s">
        <v>847</v>
      </c>
      <c r="C697" s="5" t="s">
        <v>35</v>
      </c>
      <c r="D697" s="5" t="s">
        <v>36</v>
      </c>
      <c r="E697" s="5" t="s">
        <v>794</v>
      </c>
      <c r="F697" s="5" t="s">
        <v>848</v>
      </c>
      <c r="G697" s="5" t="s">
        <v>39</v>
      </c>
      <c r="H697" s="5" t="s">
        <v>40</v>
      </c>
      <c r="I697" s="5" t="s">
        <v>796</v>
      </c>
      <c r="J697" s="5" t="n">
        <v>4</v>
      </c>
      <c r="K697" s="5"/>
      <c r="L697" s="6"/>
      <c r="M697" s="6"/>
      <c r="N697" s="6"/>
      <c r="O697" s="6"/>
      <c r="P697" s="5" t="str">
        <f aca="false">IF(M697="","",ROUND(M697*IFERROR(INDEX(Weights!$B$2:$B$4,MATCH(G697,Weights!$A$2:$A$4,0)),0)*IFERROR(INDEX(Weights!$B$7:$B$11,MATCH(E697,Weights!$A$7:$A$11,0)),0)*IFERROR(INDEX(Weights!$B$14:$B$17,MATCH(TEXT(J697,"0"),Weights!$A$14:$A$17,0)),0)/(1+N(N697)/50),1))</f>
        <v/>
      </c>
      <c r="Q697" s="5" t="s">
        <v>42</v>
      </c>
    </row>
    <row r="698" customFormat="false" ht="15" hidden="false" customHeight="false" outlineLevel="0" collapsed="false">
      <c r="A698" s="5" t="n">
        <v>697</v>
      </c>
      <c r="B698" s="5" t="s">
        <v>849</v>
      </c>
      <c r="C698" s="5" t="s">
        <v>35</v>
      </c>
      <c r="D698" s="5" t="s">
        <v>36</v>
      </c>
      <c r="E698" s="5" t="s">
        <v>794</v>
      </c>
      <c r="F698" s="5" t="s">
        <v>848</v>
      </c>
      <c r="G698" s="5" t="s">
        <v>39</v>
      </c>
      <c r="H698" s="5" t="s">
        <v>40</v>
      </c>
      <c r="I698" s="5" t="s">
        <v>796</v>
      </c>
      <c r="J698" s="5" t="n">
        <v>4</v>
      </c>
      <c r="K698" s="5"/>
      <c r="L698" s="6"/>
      <c r="M698" s="6"/>
      <c r="N698" s="6"/>
      <c r="O698" s="6"/>
      <c r="P698" s="5" t="str">
        <f aca="false">IF(M698="","",ROUND(M698*IFERROR(INDEX(Weights!$B$2:$B$4,MATCH(G698,Weights!$A$2:$A$4,0)),0)*IFERROR(INDEX(Weights!$B$7:$B$11,MATCH(E698,Weights!$A$7:$A$11,0)),0)*IFERROR(INDEX(Weights!$B$14:$B$17,MATCH(TEXT(J698,"0"),Weights!$A$14:$A$17,0)),0)/(1+N(N698)/50),1))</f>
        <v/>
      </c>
      <c r="Q698" s="5" t="s">
        <v>42</v>
      </c>
    </row>
    <row r="699" customFormat="false" ht="15" hidden="false" customHeight="false" outlineLevel="0" collapsed="false">
      <c r="A699" s="5" t="n">
        <v>698</v>
      </c>
      <c r="B699" s="5" t="s">
        <v>850</v>
      </c>
      <c r="C699" s="5" t="s">
        <v>35</v>
      </c>
      <c r="D699" s="5" t="s">
        <v>36</v>
      </c>
      <c r="E699" s="5" t="s">
        <v>794</v>
      </c>
      <c r="F699" s="5" t="s">
        <v>848</v>
      </c>
      <c r="G699" s="5" t="s">
        <v>39</v>
      </c>
      <c r="H699" s="5" t="s">
        <v>40</v>
      </c>
      <c r="I699" s="5" t="s">
        <v>796</v>
      </c>
      <c r="J699" s="5" t="n">
        <v>4</v>
      </c>
      <c r="K699" s="5"/>
      <c r="L699" s="6"/>
      <c r="M699" s="6"/>
      <c r="N699" s="6"/>
      <c r="O699" s="6"/>
      <c r="P699" s="5" t="str">
        <f aca="false">IF(M699="","",ROUND(M699*IFERROR(INDEX(Weights!$B$2:$B$4,MATCH(G699,Weights!$A$2:$A$4,0)),0)*IFERROR(INDEX(Weights!$B$7:$B$11,MATCH(E699,Weights!$A$7:$A$11,0)),0)*IFERROR(INDEX(Weights!$B$14:$B$17,MATCH(TEXT(J699,"0"),Weights!$A$14:$A$17,0)),0)/(1+N(N699)/50),1))</f>
        <v/>
      </c>
      <c r="Q699" s="5" t="s">
        <v>42</v>
      </c>
    </row>
    <row r="700" customFormat="false" ht="15" hidden="false" customHeight="false" outlineLevel="0" collapsed="false">
      <c r="A700" s="5" t="n">
        <v>699</v>
      </c>
      <c r="B700" s="5" t="s">
        <v>851</v>
      </c>
      <c r="C700" s="5" t="s">
        <v>47</v>
      </c>
      <c r="D700" s="5" t="s">
        <v>36</v>
      </c>
      <c r="E700" s="5" t="s">
        <v>794</v>
      </c>
      <c r="F700" s="5" t="s">
        <v>848</v>
      </c>
      <c r="G700" s="5" t="s">
        <v>39</v>
      </c>
      <c r="H700" s="5" t="s">
        <v>40</v>
      </c>
      <c r="I700" s="5" t="s">
        <v>796</v>
      </c>
      <c r="J700" s="5" t="n">
        <v>4</v>
      </c>
      <c r="K700" s="5"/>
      <c r="L700" s="6"/>
      <c r="M700" s="6"/>
      <c r="N700" s="6"/>
      <c r="O700" s="6"/>
      <c r="P700" s="5" t="str">
        <f aca="false">IF(M700="","",ROUND(M700*IFERROR(INDEX(Weights!$B$2:$B$4,MATCH(G700,Weights!$A$2:$A$4,0)),0)*IFERROR(INDEX(Weights!$B$7:$B$11,MATCH(E700,Weights!$A$7:$A$11,0)),0)*IFERROR(INDEX(Weights!$B$14:$B$17,MATCH(TEXT(J700,"0"),Weights!$A$14:$A$17,0)),0)/(1+N(N700)/50),1))</f>
        <v/>
      </c>
      <c r="Q700" s="5" t="s">
        <v>42</v>
      </c>
    </row>
    <row r="701" customFormat="false" ht="15" hidden="false" customHeight="false" outlineLevel="0" collapsed="false">
      <c r="A701" s="5" t="n">
        <v>700</v>
      </c>
      <c r="B701" s="5" t="s">
        <v>852</v>
      </c>
      <c r="C701" s="5" t="s">
        <v>47</v>
      </c>
      <c r="D701" s="5" t="s">
        <v>36</v>
      </c>
      <c r="E701" s="5" t="s">
        <v>794</v>
      </c>
      <c r="F701" s="5" t="s">
        <v>848</v>
      </c>
      <c r="G701" s="5" t="s">
        <v>39</v>
      </c>
      <c r="H701" s="5" t="s">
        <v>40</v>
      </c>
      <c r="I701" s="5" t="s">
        <v>796</v>
      </c>
      <c r="J701" s="5" t="n">
        <v>4</v>
      </c>
      <c r="K701" s="5"/>
      <c r="L701" s="6"/>
      <c r="M701" s="6"/>
      <c r="N701" s="6"/>
      <c r="O701" s="6"/>
      <c r="P701" s="5" t="str">
        <f aca="false">IF(M701="","",ROUND(M701*IFERROR(INDEX(Weights!$B$2:$B$4,MATCH(G701,Weights!$A$2:$A$4,0)),0)*IFERROR(INDEX(Weights!$B$7:$B$11,MATCH(E701,Weights!$A$7:$A$11,0)),0)*IFERROR(INDEX(Weights!$B$14:$B$17,MATCH(TEXT(J701,"0"),Weights!$A$14:$A$17,0)),0)/(1+N(N701)/50),1))</f>
        <v/>
      </c>
      <c r="Q701" s="5" t="s">
        <v>42</v>
      </c>
    </row>
    <row r="702" customFormat="false" ht="15" hidden="false" customHeight="false" outlineLevel="0" collapsed="false">
      <c r="A702" s="5" t="n">
        <v>701</v>
      </c>
      <c r="B702" s="5" t="s">
        <v>853</v>
      </c>
      <c r="C702" s="5" t="s">
        <v>47</v>
      </c>
      <c r="D702" s="5" t="s">
        <v>36</v>
      </c>
      <c r="E702" s="5" t="s">
        <v>794</v>
      </c>
      <c r="F702" s="5" t="s">
        <v>848</v>
      </c>
      <c r="G702" s="5" t="s">
        <v>39</v>
      </c>
      <c r="H702" s="5" t="s">
        <v>40</v>
      </c>
      <c r="I702" s="5" t="s">
        <v>796</v>
      </c>
      <c r="J702" s="5" t="n">
        <v>4</v>
      </c>
      <c r="K702" s="5"/>
      <c r="L702" s="6"/>
      <c r="M702" s="6"/>
      <c r="N702" s="6"/>
      <c r="O702" s="6"/>
      <c r="P702" s="5" t="str">
        <f aca="false">IF(M702="","",ROUND(M702*IFERROR(INDEX(Weights!$B$2:$B$4,MATCH(G702,Weights!$A$2:$A$4,0)),0)*IFERROR(INDEX(Weights!$B$7:$B$11,MATCH(E702,Weights!$A$7:$A$11,0)),0)*IFERROR(INDEX(Weights!$B$14:$B$17,MATCH(TEXT(J702,"0"),Weights!$A$14:$A$17,0)),0)/(1+N(N702)/50),1))</f>
        <v/>
      </c>
      <c r="Q702" s="5" t="s">
        <v>42</v>
      </c>
    </row>
    <row r="703" customFormat="false" ht="15" hidden="false" customHeight="false" outlineLevel="0" collapsed="false">
      <c r="A703" s="5" t="n">
        <v>702</v>
      </c>
      <c r="B703" s="5" t="s">
        <v>854</v>
      </c>
      <c r="C703" s="5" t="s">
        <v>47</v>
      </c>
      <c r="D703" s="5" t="s">
        <v>36</v>
      </c>
      <c r="E703" s="5" t="s">
        <v>794</v>
      </c>
      <c r="F703" s="5" t="s">
        <v>848</v>
      </c>
      <c r="G703" s="5" t="s">
        <v>39</v>
      </c>
      <c r="H703" s="5" t="s">
        <v>40</v>
      </c>
      <c r="I703" s="5" t="s">
        <v>796</v>
      </c>
      <c r="J703" s="5" t="n">
        <v>4</v>
      </c>
      <c r="K703" s="5"/>
      <c r="L703" s="6"/>
      <c r="M703" s="6"/>
      <c r="N703" s="6"/>
      <c r="O703" s="6"/>
      <c r="P703" s="5" t="str">
        <f aca="false">IF(M703="","",ROUND(M703*IFERROR(INDEX(Weights!$B$2:$B$4,MATCH(G703,Weights!$A$2:$A$4,0)),0)*IFERROR(INDEX(Weights!$B$7:$B$11,MATCH(E703,Weights!$A$7:$A$11,0)),0)*IFERROR(INDEX(Weights!$B$14:$B$17,MATCH(TEXT(J703,"0"),Weights!$A$14:$A$17,0)),0)/(1+N(N703)/50),1))</f>
        <v/>
      </c>
      <c r="Q703" s="5" t="s">
        <v>42</v>
      </c>
    </row>
    <row r="704" customFormat="false" ht="15" hidden="false" customHeight="false" outlineLevel="0" collapsed="false">
      <c r="A704" s="5" t="n">
        <v>703</v>
      </c>
      <c r="B704" s="5" t="s">
        <v>855</v>
      </c>
      <c r="C704" s="5" t="s">
        <v>51</v>
      </c>
      <c r="D704" s="5" t="s">
        <v>36</v>
      </c>
      <c r="E704" s="5" t="s">
        <v>794</v>
      </c>
      <c r="F704" s="5" t="s">
        <v>848</v>
      </c>
      <c r="G704" s="5" t="s">
        <v>39</v>
      </c>
      <c r="H704" s="5" t="s">
        <v>40</v>
      </c>
      <c r="I704" s="5" t="s">
        <v>796</v>
      </c>
      <c r="J704" s="5" t="n">
        <v>4</v>
      </c>
      <c r="K704" s="5"/>
      <c r="L704" s="6"/>
      <c r="M704" s="6"/>
      <c r="N704" s="6"/>
      <c r="O704" s="6"/>
      <c r="P704" s="5" t="str">
        <f aca="false">IF(M704="","",ROUND(M704*IFERROR(INDEX(Weights!$B$2:$B$4,MATCH(G704,Weights!$A$2:$A$4,0)),0)*IFERROR(INDEX(Weights!$B$7:$B$11,MATCH(E704,Weights!$A$7:$A$11,0)),0)*IFERROR(INDEX(Weights!$B$14:$B$17,MATCH(TEXT(J704,"0"),Weights!$A$14:$A$17,0)),0)/(1+N(N704)/50),1))</f>
        <v/>
      </c>
      <c r="Q704" s="5" t="s">
        <v>42</v>
      </c>
    </row>
    <row r="705" customFormat="false" ht="15" hidden="false" customHeight="false" outlineLevel="0" collapsed="false">
      <c r="A705" s="5" t="n">
        <v>704</v>
      </c>
      <c r="B705" s="5" t="s">
        <v>856</v>
      </c>
      <c r="C705" s="5" t="s">
        <v>51</v>
      </c>
      <c r="D705" s="5" t="s">
        <v>36</v>
      </c>
      <c r="E705" s="5" t="s">
        <v>794</v>
      </c>
      <c r="F705" s="5" t="s">
        <v>848</v>
      </c>
      <c r="G705" s="5" t="s">
        <v>39</v>
      </c>
      <c r="H705" s="5" t="s">
        <v>40</v>
      </c>
      <c r="I705" s="5" t="s">
        <v>796</v>
      </c>
      <c r="J705" s="5" t="n">
        <v>4</v>
      </c>
      <c r="K705" s="5"/>
      <c r="L705" s="6"/>
      <c r="M705" s="6"/>
      <c r="N705" s="6"/>
      <c r="O705" s="6"/>
      <c r="P705" s="5" t="str">
        <f aca="false">IF(M705="","",ROUND(M705*IFERROR(INDEX(Weights!$B$2:$B$4,MATCH(G705,Weights!$A$2:$A$4,0)),0)*IFERROR(INDEX(Weights!$B$7:$B$11,MATCH(E705,Weights!$A$7:$A$11,0)),0)*IFERROR(INDEX(Weights!$B$14:$B$17,MATCH(TEXT(J705,"0"),Weights!$A$14:$A$17,0)),0)/(1+N(N705)/50),1))</f>
        <v/>
      </c>
      <c r="Q705" s="5" t="s">
        <v>42</v>
      </c>
    </row>
    <row r="706" customFormat="false" ht="15" hidden="false" customHeight="false" outlineLevel="0" collapsed="false">
      <c r="A706" s="5" t="n">
        <v>705</v>
      </c>
      <c r="B706" s="5" t="s">
        <v>857</v>
      </c>
      <c r="C706" s="5" t="s">
        <v>51</v>
      </c>
      <c r="D706" s="5" t="s">
        <v>36</v>
      </c>
      <c r="E706" s="5" t="s">
        <v>794</v>
      </c>
      <c r="F706" s="5" t="s">
        <v>848</v>
      </c>
      <c r="G706" s="5" t="s">
        <v>39</v>
      </c>
      <c r="H706" s="5" t="s">
        <v>40</v>
      </c>
      <c r="I706" s="5" t="s">
        <v>796</v>
      </c>
      <c r="J706" s="5" t="n">
        <v>4</v>
      </c>
      <c r="K706" s="5"/>
      <c r="L706" s="6"/>
      <c r="M706" s="6"/>
      <c r="N706" s="6"/>
      <c r="O706" s="6"/>
      <c r="P706" s="5" t="str">
        <f aca="false">IF(M706="","",ROUND(M706*IFERROR(INDEX(Weights!$B$2:$B$4,MATCH(G706,Weights!$A$2:$A$4,0)),0)*IFERROR(INDEX(Weights!$B$7:$B$11,MATCH(E706,Weights!$A$7:$A$11,0)),0)*IFERROR(INDEX(Weights!$B$14:$B$17,MATCH(TEXT(J706,"0"),Weights!$A$14:$A$17,0)),0)/(1+N(N706)/50),1))</f>
        <v/>
      </c>
      <c r="Q706" s="5" t="s">
        <v>42</v>
      </c>
    </row>
    <row r="707" customFormat="false" ht="15" hidden="false" customHeight="false" outlineLevel="0" collapsed="false">
      <c r="A707" s="5" t="n">
        <v>706</v>
      </c>
      <c r="B707" s="5" t="s">
        <v>858</v>
      </c>
      <c r="C707" s="5" t="s">
        <v>54</v>
      </c>
      <c r="D707" s="5" t="s">
        <v>36</v>
      </c>
      <c r="E707" s="5" t="s">
        <v>794</v>
      </c>
      <c r="F707" s="5" t="s">
        <v>848</v>
      </c>
      <c r="G707" s="5" t="s">
        <v>39</v>
      </c>
      <c r="H707" s="5" t="s">
        <v>40</v>
      </c>
      <c r="I707" s="5" t="s">
        <v>796</v>
      </c>
      <c r="J707" s="5" t="n">
        <v>4</v>
      </c>
      <c r="K707" s="5"/>
      <c r="L707" s="6"/>
      <c r="M707" s="6"/>
      <c r="N707" s="6"/>
      <c r="O707" s="6"/>
      <c r="P707" s="5" t="str">
        <f aca="false">IF(M707="","",ROUND(M707*IFERROR(INDEX(Weights!$B$2:$B$4,MATCH(G707,Weights!$A$2:$A$4,0)),0)*IFERROR(INDEX(Weights!$B$7:$B$11,MATCH(E707,Weights!$A$7:$A$11,0)),0)*IFERROR(INDEX(Weights!$B$14:$B$17,MATCH(TEXT(J707,"0"),Weights!$A$14:$A$17,0)),0)/(1+N(N707)/50),1))</f>
        <v/>
      </c>
      <c r="Q707" s="5" t="s">
        <v>42</v>
      </c>
    </row>
    <row r="708" customFormat="false" ht="15" hidden="false" customHeight="false" outlineLevel="0" collapsed="false">
      <c r="A708" s="5" t="n">
        <v>707</v>
      </c>
      <c r="B708" s="5" t="s">
        <v>859</v>
      </c>
      <c r="C708" s="5" t="s">
        <v>54</v>
      </c>
      <c r="D708" s="5" t="s">
        <v>36</v>
      </c>
      <c r="E708" s="5" t="s">
        <v>794</v>
      </c>
      <c r="F708" s="5" t="s">
        <v>848</v>
      </c>
      <c r="G708" s="5" t="s">
        <v>39</v>
      </c>
      <c r="H708" s="5" t="s">
        <v>40</v>
      </c>
      <c r="I708" s="5" t="s">
        <v>796</v>
      </c>
      <c r="J708" s="5" t="n">
        <v>4</v>
      </c>
      <c r="K708" s="5"/>
      <c r="L708" s="6"/>
      <c r="M708" s="6"/>
      <c r="N708" s="6"/>
      <c r="O708" s="6"/>
      <c r="P708" s="5" t="str">
        <f aca="false">IF(M708="","",ROUND(M708*IFERROR(INDEX(Weights!$B$2:$B$4,MATCH(G708,Weights!$A$2:$A$4,0)),0)*IFERROR(INDEX(Weights!$B$7:$B$11,MATCH(E708,Weights!$A$7:$A$11,0)),0)*IFERROR(INDEX(Weights!$B$14:$B$17,MATCH(TEXT(J708,"0"),Weights!$A$14:$A$17,0)),0)/(1+N(N708)/50),1))</f>
        <v/>
      </c>
      <c r="Q708" s="5" t="s">
        <v>42</v>
      </c>
    </row>
    <row r="709" customFormat="false" ht="15" hidden="false" customHeight="false" outlineLevel="0" collapsed="false">
      <c r="A709" s="5" t="n">
        <v>708</v>
      </c>
      <c r="B709" s="5" t="s">
        <v>860</v>
      </c>
      <c r="C709" s="5" t="s">
        <v>57</v>
      </c>
      <c r="D709" s="5" t="s">
        <v>36</v>
      </c>
      <c r="E709" s="5" t="s">
        <v>794</v>
      </c>
      <c r="F709" s="5" t="s">
        <v>848</v>
      </c>
      <c r="G709" s="5" t="s">
        <v>39</v>
      </c>
      <c r="H709" s="5" t="s">
        <v>40</v>
      </c>
      <c r="I709" s="5" t="s">
        <v>796</v>
      </c>
      <c r="J709" s="5" t="n">
        <v>4</v>
      </c>
      <c r="K709" s="5"/>
      <c r="L709" s="6"/>
      <c r="M709" s="6"/>
      <c r="N709" s="6"/>
      <c r="O709" s="6"/>
      <c r="P709" s="5" t="str">
        <f aca="false">IF(M709="","",ROUND(M709*IFERROR(INDEX(Weights!$B$2:$B$4,MATCH(G709,Weights!$A$2:$A$4,0)),0)*IFERROR(INDEX(Weights!$B$7:$B$11,MATCH(E709,Weights!$A$7:$A$11,0)),0)*IFERROR(INDEX(Weights!$B$14:$B$17,MATCH(TEXT(J709,"0"),Weights!$A$14:$A$17,0)),0)/(1+N(N709)/50),1))</f>
        <v/>
      </c>
      <c r="Q709" s="5" t="s">
        <v>42</v>
      </c>
    </row>
    <row r="710" customFormat="false" ht="15" hidden="false" customHeight="false" outlineLevel="0" collapsed="false">
      <c r="A710" s="5" t="n">
        <v>709</v>
      </c>
      <c r="B710" s="5" t="s">
        <v>861</v>
      </c>
      <c r="C710" s="5" t="s">
        <v>57</v>
      </c>
      <c r="D710" s="5" t="s">
        <v>36</v>
      </c>
      <c r="E710" s="5" t="s">
        <v>794</v>
      </c>
      <c r="F710" s="5" t="s">
        <v>848</v>
      </c>
      <c r="G710" s="5" t="s">
        <v>39</v>
      </c>
      <c r="H710" s="5" t="s">
        <v>40</v>
      </c>
      <c r="I710" s="5" t="s">
        <v>796</v>
      </c>
      <c r="J710" s="5" t="n">
        <v>4</v>
      </c>
      <c r="K710" s="5"/>
      <c r="L710" s="6"/>
      <c r="M710" s="6"/>
      <c r="N710" s="6"/>
      <c r="O710" s="6"/>
      <c r="P710" s="5" t="str">
        <f aca="false">IF(M710="","",ROUND(M710*IFERROR(INDEX(Weights!$B$2:$B$4,MATCH(G710,Weights!$A$2:$A$4,0)),0)*IFERROR(INDEX(Weights!$B$7:$B$11,MATCH(E710,Weights!$A$7:$A$11,0)),0)*IFERROR(INDEX(Weights!$B$14:$B$17,MATCH(TEXT(J710,"0"),Weights!$A$14:$A$17,0)),0)/(1+N(N710)/50),1))</f>
        <v/>
      </c>
      <c r="Q710" s="5" t="s">
        <v>42</v>
      </c>
    </row>
    <row r="711" customFormat="false" ht="15" hidden="false" customHeight="false" outlineLevel="0" collapsed="false">
      <c r="A711" s="5" t="n">
        <v>710</v>
      </c>
      <c r="B711" s="5" t="s">
        <v>862</v>
      </c>
      <c r="C711" s="5" t="s">
        <v>57</v>
      </c>
      <c r="D711" s="5" t="s">
        <v>36</v>
      </c>
      <c r="E711" s="5" t="s">
        <v>794</v>
      </c>
      <c r="F711" s="5" t="s">
        <v>848</v>
      </c>
      <c r="G711" s="5" t="s">
        <v>39</v>
      </c>
      <c r="H711" s="5" t="s">
        <v>40</v>
      </c>
      <c r="I711" s="5" t="s">
        <v>796</v>
      </c>
      <c r="J711" s="5" t="n">
        <v>4</v>
      </c>
      <c r="K711" s="5"/>
      <c r="L711" s="6"/>
      <c r="M711" s="6"/>
      <c r="N711" s="6"/>
      <c r="O711" s="6"/>
      <c r="P711" s="5" t="str">
        <f aca="false">IF(M711="","",ROUND(M711*IFERROR(INDEX(Weights!$B$2:$B$4,MATCH(G711,Weights!$A$2:$A$4,0)),0)*IFERROR(INDEX(Weights!$B$7:$B$11,MATCH(E711,Weights!$A$7:$A$11,0)),0)*IFERROR(INDEX(Weights!$B$14:$B$17,MATCH(TEXT(J711,"0"),Weights!$A$14:$A$17,0)),0)/(1+N(N711)/50),1))</f>
        <v/>
      </c>
      <c r="Q711" s="5" t="s">
        <v>42</v>
      </c>
    </row>
    <row r="712" customFormat="false" ht="15" hidden="false" customHeight="false" outlineLevel="0" collapsed="false">
      <c r="A712" s="5" t="n">
        <v>711</v>
      </c>
      <c r="B712" s="5" t="s">
        <v>863</v>
      </c>
      <c r="C712" s="5" t="s">
        <v>464</v>
      </c>
      <c r="D712" s="5" t="s">
        <v>36</v>
      </c>
      <c r="E712" s="5" t="s">
        <v>794</v>
      </c>
      <c r="F712" s="5" t="s">
        <v>848</v>
      </c>
      <c r="G712" s="5" t="s">
        <v>39</v>
      </c>
      <c r="H712" s="5" t="s">
        <v>40</v>
      </c>
      <c r="I712" s="5" t="s">
        <v>796</v>
      </c>
      <c r="J712" s="5" t="n">
        <v>4</v>
      </c>
      <c r="K712" s="5"/>
      <c r="L712" s="6"/>
      <c r="M712" s="6"/>
      <c r="N712" s="6"/>
      <c r="O712" s="6"/>
      <c r="P712" s="5" t="str">
        <f aca="false">IF(M712="","",ROUND(M712*IFERROR(INDEX(Weights!$B$2:$B$4,MATCH(G712,Weights!$A$2:$A$4,0)),0)*IFERROR(INDEX(Weights!$B$7:$B$11,MATCH(E712,Weights!$A$7:$A$11,0)),0)*IFERROR(INDEX(Weights!$B$14:$B$17,MATCH(TEXT(J712,"0"),Weights!$A$14:$A$17,0)),0)/(1+N(N712)/50),1))</f>
        <v/>
      </c>
      <c r="Q712" s="5" t="s">
        <v>42</v>
      </c>
    </row>
    <row r="713" customFormat="false" ht="15" hidden="false" customHeight="false" outlineLevel="0" collapsed="false">
      <c r="A713" s="5" t="n">
        <v>712</v>
      </c>
      <c r="B713" s="5" t="s">
        <v>864</v>
      </c>
      <c r="C713" s="5" t="s">
        <v>464</v>
      </c>
      <c r="D713" s="5" t="s">
        <v>36</v>
      </c>
      <c r="E713" s="5" t="s">
        <v>794</v>
      </c>
      <c r="F713" s="5" t="s">
        <v>848</v>
      </c>
      <c r="G713" s="5" t="s">
        <v>39</v>
      </c>
      <c r="H713" s="5" t="s">
        <v>40</v>
      </c>
      <c r="I713" s="5" t="s">
        <v>796</v>
      </c>
      <c r="J713" s="5" t="n">
        <v>4</v>
      </c>
      <c r="K713" s="5"/>
      <c r="L713" s="6"/>
      <c r="M713" s="6"/>
      <c r="N713" s="6"/>
      <c r="O713" s="6"/>
      <c r="P713" s="5" t="str">
        <f aca="false">IF(M713="","",ROUND(M713*IFERROR(INDEX(Weights!$B$2:$B$4,MATCH(G713,Weights!$A$2:$A$4,0)),0)*IFERROR(INDEX(Weights!$B$7:$B$11,MATCH(E713,Weights!$A$7:$A$11,0)),0)*IFERROR(INDEX(Weights!$B$14:$B$17,MATCH(TEXT(J713,"0"),Weights!$A$14:$A$17,0)),0)/(1+N(N713)/50),1))</f>
        <v/>
      </c>
      <c r="Q713" s="5" t="s">
        <v>42</v>
      </c>
    </row>
    <row r="714" customFormat="false" ht="15" hidden="false" customHeight="false" outlineLevel="0" collapsed="false">
      <c r="A714" s="5" t="n">
        <v>713</v>
      </c>
      <c r="B714" s="5" t="s">
        <v>865</v>
      </c>
      <c r="C714" s="5" t="s">
        <v>464</v>
      </c>
      <c r="D714" s="5" t="s">
        <v>36</v>
      </c>
      <c r="E714" s="5" t="s">
        <v>794</v>
      </c>
      <c r="F714" s="5" t="s">
        <v>848</v>
      </c>
      <c r="G714" s="5" t="s">
        <v>39</v>
      </c>
      <c r="H714" s="5" t="s">
        <v>40</v>
      </c>
      <c r="I714" s="5" t="s">
        <v>796</v>
      </c>
      <c r="J714" s="5" t="n">
        <v>4</v>
      </c>
      <c r="K714" s="5"/>
      <c r="L714" s="6"/>
      <c r="M714" s="6"/>
      <c r="N714" s="6"/>
      <c r="O714" s="6"/>
      <c r="P714" s="5" t="str">
        <f aca="false">IF(M714="","",ROUND(M714*IFERROR(INDEX(Weights!$B$2:$B$4,MATCH(G714,Weights!$A$2:$A$4,0)),0)*IFERROR(INDEX(Weights!$B$7:$B$11,MATCH(E714,Weights!$A$7:$A$11,0)),0)*IFERROR(INDEX(Weights!$B$14:$B$17,MATCH(TEXT(J714,"0"),Weights!$A$14:$A$17,0)),0)/(1+N(N714)/50),1))</f>
        <v/>
      </c>
      <c r="Q714" s="5" t="s">
        <v>42</v>
      </c>
    </row>
    <row r="715" customFormat="false" ht="15" hidden="false" customHeight="false" outlineLevel="0" collapsed="false">
      <c r="A715" s="5" t="n">
        <v>714</v>
      </c>
      <c r="B715" s="5" t="s">
        <v>866</v>
      </c>
      <c r="C715" s="5" t="s">
        <v>456</v>
      </c>
      <c r="D715" s="5" t="s">
        <v>36</v>
      </c>
      <c r="E715" s="5" t="s">
        <v>794</v>
      </c>
      <c r="F715" s="5" t="s">
        <v>848</v>
      </c>
      <c r="G715" s="5" t="s">
        <v>39</v>
      </c>
      <c r="H715" s="5" t="s">
        <v>40</v>
      </c>
      <c r="I715" s="5" t="s">
        <v>796</v>
      </c>
      <c r="J715" s="5" t="n">
        <v>4</v>
      </c>
      <c r="K715" s="5"/>
      <c r="L715" s="6"/>
      <c r="M715" s="6"/>
      <c r="N715" s="6"/>
      <c r="O715" s="6"/>
      <c r="P715" s="5" t="str">
        <f aca="false">IF(M715="","",ROUND(M715*IFERROR(INDEX(Weights!$B$2:$B$4,MATCH(G715,Weights!$A$2:$A$4,0)),0)*IFERROR(INDEX(Weights!$B$7:$B$11,MATCH(E715,Weights!$A$7:$A$11,0)),0)*IFERROR(INDEX(Weights!$B$14:$B$17,MATCH(TEXT(J715,"0"),Weights!$A$14:$A$17,0)),0)/(1+N(N715)/50),1))</f>
        <v/>
      </c>
      <c r="Q715" s="5" t="s">
        <v>42</v>
      </c>
    </row>
    <row r="716" customFormat="false" ht="15" hidden="false" customHeight="false" outlineLevel="0" collapsed="false">
      <c r="A716" s="5" t="n">
        <v>715</v>
      </c>
      <c r="B716" s="5" t="s">
        <v>867</v>
      </c>
      <c r="C716" s="5" t="s">
        <v>456</v>
      </c>
      <c r="D716" s="5" t="s">
        <v>36</v>
      </c>
      <c r="E716" s="5" t="s">
        <v>794</v>
      </c>
      <c r="F716" s="5" t="s">
        <v>848</v>
      </c>
      <c r="G716" s="5" t="s">
        <v>39</v>
      </c>
      <c r="H716" s="5" t="s">
        <v>40</v>
      </c>
      <c r="I716" s="5" t="s">
        <v>796</v>
      </c>
      <c r="J716" s="5" t="n">
        <v>4</v>
      </c>
      <c r="K716" s="5"/>
      <c r="L716" s="6"/>
      <c r="M716" s="6"/>
      <c r="N716" s="6"/>
      <c r="O716" s="6"/>
      <c r="P716" s="5" t="str">
        <f aca="false">IF(M716="","",ROUND(M716*IFERROR(INDEX(Weights!$B$2:$B$4,MATCH(G716,Weights!$A$2:$A$4,0)),0)*IFERROR(INDEX(Weights!$B$7:$B$11,MATCH(E716,Weights!$A$7:$A$11,0)),0)*IFERROR(INDEX(Weights!$B$14:$B$17,MATCH(TEXT(J716,"0"),Weights!$A$14:$A$17,0)),0)/(1+N(N716)/50),1))</f>
        <v/>
      </c>
      <c r="Q716" s="5" t="s">
        <v>42</v>
      </c>
    </row>
    <row r="717" customFormat="false" ht="15" hidden="false" customHeight="false" outlineLevel="0" collapsed="false">
      <c r="A717" s="5" t="n">
        <v>716</v>
      </c>
      <c r="B717" s="5" t="s">
        <v>868</v>
      </c>
      <c r="C717" s="5" t="s">
        <v>64</v>
      </c>
      <c r="D717" s="5" t="s">
        <v>36</v>
      </c>
      <c r="E717" s="5" t="s">
        <v>794</v>
      </c>
      <c r="F717" s="5" t="s">
        <v>848</v>
      </c>
      <c r="G717" s="5" t="s">
        <v>39</v>
      </c>
      <c r="H717" s="5" t="s">
        <v>40</v>
      </c>
      <c r="I717" s="5" t="s">
        <v>796</v>
      </c>
      <c r="J717" s="5" t="n">
        <v>4</v>
      </c>
      <c r="K717" s="5"/>
      <c r="L717" s="6"/>
      <c r="M717" s="6"/>
      <c r="N717" s="6"/>
      <c r="O717" s="6"/>
      <c r="P717" s="5" t="str">
        <f aca="false">IF(M717="","",ROUND(M717*IFERROR(INDEX(Weights!$B$2:$B$4,MATCH(G717,Weights!$A$2:$A$4,0)),0)*IFERROR(INDEX(Weights!$B$7:$B$11,MATCH(E717,Weights!$A$7:$A$11,0)),0)*IFERROR(INDEX(Weights!$B$14:$B$17,MATCH(TEXT(J717,"0"),Weights!$A$14:$A$17,0)),0)/(1+N(N717)/50),1))</f>
        <v/>
      </c>
      <c r="Q717" s="5" t="s">
        <v>42</v>
      </c>
    </row>
    <row r="718" customFormat="false" ht="15" hidden="false" customHeight="false" outlineLevel="0" collapsed="false">
      <c r="A718" s="5" t="n">
        <v>717</v>
      </c>
      <c r="B718" s="5" t="s">
        <v>869</v>
      </c>
      <c r="C718" s="5" t="s">
        <v>64</v>
      </c>
      <c r="D718" s="5" t="s">
        <v>36</v>
      </c>
      <c r="E718" s="5" t="s">
        <v>794</v>
      </c>
      <c r="F718" s="5" t="s">
        <v>848</v>
      </c>
      <c r="G718" s="5" t="s">
        <v>39</v>
      </c>
      <c r="H718" s="5" t="s">
        <v>40</v>
      </c>
      <c r="I718" s="5" t="s">
        <v>796</v>
      </c>
      <c r="J718" s="5" t="n">
        <v>4</v>
      </c>
      <c r="K718" s="5"/>
      <c r="L718" s="6"/>
      <c r="M718" s="6"/>
      <c r="N718" s="6"/>
      <c r="O718" s="6"/>
      <c r="P718" s="5" t="str">
        <f aca="false">IF(M718="","",ROUND(M718*IFERROR(INDEX(Weights!$B$2:$B$4,MATCH(G718,Weights!$A$2:$A$4,0)),0)*IFERROR(INDEX(Weights!$B$7:$B$11,MATCH(E718,Weights!$A$7:$A$11,0)),0)*IFERROR(INDEX(Weights!$B$14:$B$17,MATCH(TEXT(J718,"0"),Weights!$A$14:$A$17,0)),0)/(1+N(N718)/50),1))</f>
        <v/>
      </c>
      <c r="Q718" s="5" t="s">
        <v>42</v>
      </c>
    </row>
    <row r="719" customFormat="false" ht="15" hidden="false" customHeight="false" outlineLevel="0" collapsed="false">
      <c r="A719" s="5" t="n">
        <v>718</v>
      </c>
      <c r="B719" s="5" t="s">
        <v>870</v>
      </c>
      <c r="C719" s="5" t="s">
        <v>61</v>
      </c>
      <c r="D719" s="5" t="s">
        <v>36</v>
      </c>
      <c r="E719" s="5" t="s">
        <v>794</v>
      </c>
      <c r="F719" s="5" t="s">
        <v>848</v>
      </c>
      <c r="G719" s="5" t="s">
        <v>39</v>
      </c>
      <c r="H719" s="5" t="s">
        <v>40</v>
      </c>
      <c r="I719" s="5" t="s">
        <v>796</v>
      </c>
      <c r="J719" s="5" t="n">
        <v>4</v>
      </c>
      <c r="K719" s="5"/>
      <c r="L719" s="6"/>
      <c r="M719" s="6"/>
      <c r="N719" s="6"/>
      <c r="O719" s="6"/>
      <c r="P719" s="5" t="str">
        <f aca="false">IF(M719="","",ROUND(M719*IFERROR(INDEX(Weights!$B$2:$B$4,MATCH(G719,Weights!$A$2:$A$4,0)),0)*IFERROR(INDEX(Weights!$B$7:$B$11,MATCH(E719,Weights!$A$7:$A$11,0)),0)*IFERROR(INDEX(Weights!$B$14:$B$17,MATCH(TEXT(J719,"0"),Weights!$A$14:$A$17,0)),0)/(1+N(N719)/50),1))</f>
        <v/>
      </c>
      <c r="Q719" s="5" t="s">
        <v>42</v>
      </c>
    </row>
    <row r="720" customFormat="false" ht="15" hidden="false" customHeight="false" outlineLevel="0" collapsed="false">
      <c r="A720" s="5" t="n">
        <v>719</v>
      </c>
      <c r="B720" s="5" t="s">
        <v>871</v>
      </c>
      <c r="C720" s="5" t="s">
        <v>66</v>
      </c>
      <c r="D720" s="5" t="s">
        <v>36</v>
      </c>
      <c r="E720" s="5" t="s">
        <v>794</v>
      </c>
      <c r="F720" s="5" t="s">
        <v>848</v>
      </c>
      <c r="G720" s="5" t="s">
        <v>39</v>
      </c>
      <c r="H720" s="5" t="s">
        <v>40</v>
      </c>
      <c r="I720" s="5" t="s">
        <v>796</v>
      </c>
      <c r="J720" s="5" t="n">
        <v>4</v>
      </c>
      <c r="K720" s="5"/>
      <c r="L720" s="6"/>
      <c r="M720" s="6"/>
      <c r="N720" s="6"/>
      <c r="O720" s="6"/>
      <c r="P720" s="5" t="str">
        <f aca="false">IF(M720="","",ROUND(M720*IFERROR(INDEX(Weights!$B$2:$B$4,MATCH(G720,Weights!$A$2:$A$4,0)),0)*IFERROR(INDEX(Weights!$B$7:$B$11,MATCH(E720,Weights!$A$7:$A$11,0)),0)*IFERROR(INDEX(Weights!$B$14:$B$17,MATCH(TEXT(J720,"0"),Weights!$A$14:$A$17,0)),0)/(1+N(N720)/50),1))</f>
        <v/>
      </c>
      <c r="Q720" s="5" t="s">
        <v>42</v>
      </c>
    </row>
    <row r="721" customFormat="false" ht="15" hidden="false" customHeight="false" outlineLevel="0" collapsed="false">
      <c r="A721" s="5" t="n">
        <v>720</v>
      </c>
      <c r="B721" s="5" t="s">
        <v>872</v>
      </c>
      <c r="C721" s="5" t="s">
        <v>69</v>
      </c>
      <c r="D721" s="5" t="s">
        <v>36</v>
      </c>
      <c r="E721" s="5" t="s">
        <v>794</v>
      </c>
      <c r="F721" s="5" t="s">
        <v>848</v>
      </c>
      <c r="G721" s="5" t="s">
        <v>39</v>
      </c>
      <c r="H721" s="5" t="s">
        <v>40</v>
      </c>
      <c r="I721" s="5" t="s">
        <v>796</v>
      </c>
      <c r="J721" s="5" t="n">
        <v>4</v>
      </c>
      <c r="K721" s="5"/>
      <c r="L721" s="6"/>
      <c r="M721" s="6"/>
      <c r="N721" s="6"/>
      <c r="O721" s="6"/>
      <c r="P721" s="5" t="str">
        <f aca="false">IF(M721="","",ROUND(M721*IFERROR(INDEX(Weights!$B$2:$B$4,MATCH(G721,Weights!$A$2:$A$4,0)),0)*IFERROR(INDEX(Weights!$B$7:$B$11,MATCH(E721,Weights!$A$7:$A$11,0)),0)*IFERROR(INDEX(Weights!$B$14:$B$17,MATCH(TEXT(J721,"0"),Weights!$A$14:$A$17,0)),0)/(1+N(N721)/50),1))</f>
        <v/>
      </c>
      <c r="Q721" s="5" t="s">
        <v>42</v>
      </c>
    </row>
    <row r="722" customFormat="false" ht="15" hidden="false" customHeight="false" outlineLevel="0" collapsed="false">
      <c r="A722" s="5" t="n">
        <v>721</v>
      </c>
      <c r="B722" s="5" t="s">
        <v>873</v>
      </c>
      <c r="C722" s="5" t="s">
        <v>35</v>
      </c>
      <c r="D722" s="5" t="s">
        <v>36</v>
      </c>
      <c r="E722" s="5" t="s">
        <v>794</v>
      </c>
      <c r="F722" s="5" t="s">
        <v>874</v>
      </c>
      <c r="G722" s="5" t="s">
        <v>39</v>
      </c>
      <c r="H722" s="5" t="s">
        <v>40</v>
      </c>
      <c r="I722" s="5" t="s">
        <v>796</v>
      </c>
      <c r="J722" s="5" t="n">
        <v>4</v>
      </c>
      <c r="K722" s="5"/>
      <c r="L722" s="6"/>
      <c r="M722" s="6"/>
      <c r="N722" s="6"/>
      <c r="O722" s="6"/>
      <c r="P722" s="5" t="str">
        <f aca="false">IF(M722="","",ROUND(M722*IFERROR(INDEX(Weights!$B$2:$B$4,MATCH(G722,Weights!$A$2:$A$4,0)),0)*IFERROR(INDEX(Weights!$B$7:$B$11,MATCH(E722,Weights!$A$7:$A$11,0)),0)*IFERROR(INDEX(Weights!$B$14:$B$17,MATCH(TEXT(J722,"0"),Weights!$A$14:$A$17,0)),0)/(1+N(N722)/50),1))</f>
        <v/>
      </c>
      <c r="Q722" s="5" t="s">
        <v>42</v>
      </c>
    </row>
    <row r="723" customFormat="false" ht="15" hidden="false" customHeight="false" outlineLevel="0" collapsed="false">
      <c r="A723" s="5" t="n">
        <v>722</v>
      </c>
      <c r="B723" s="5" t="s">
        <v>875</v>
      </c>
      <c r="C723" s="5" t="s">
        <v>35</v>
      </c>
      <c r="D723" s="5" t="s">
        <v>36</v>
      </c>
      <c r="E723" s="5" t="s">
        <v>794</v>
      </c>
      <c r="F723" s="5" t="s">
        <v>874</v>
      </c>
      <c r="G723" s="5" t="s">
        <v>39</v>
      </c>
      <c r="H723" s="5" t="s">
        <v>40</v>
      </c>
      <c r="I723" s="5" t="s">
        <v>796</v>
      </c>
      <c r="J723" s="5" t="n">
        <v>4</v>
      </c>
      <c r="K723" s="5"/>
      <c r="L723" s="6"/>
      <c r="M723" s="6"/>
      <c r="N723" s="6"/>
      <c r="O723" s="6"/>
      <c r="P723" s="5" t="str">
        <f aca="false">IF(M723="","",ROUND(M723*IFERROR(INDEX(Weights!$B$2:$B$4,MATCH(G723,Weights!$A$2:$A$4,0)),0)*IFERROR(INDEX(Weights!$B$7:$B$11,MATCH(E723,Weights!$A$7:$A$11,0)),0)*IFERROR(INDEX(Weights!$B$14:$B$17,MATCH(TEXT(J723,"0"),Weights!$A$14:$A$17,0)),0)/(1+N(N723)/50),1))</f>
        <v/>
      </c>
      <c r="Q723" s="5" t="s">
        <v>42</v>
      </c>
    </row>
    <row r="724" customFormat="false" ht="15" hidden="false" customHeight="false" outlineLevel="0" collapsed="false">
      <c r="A724" s="5" t="n">
        <v>723</v>
      </c>
      <c r="B724" s="5" t="s">
        <v>876</v>
      </c>
      <c r="C724" s="5" t="s">
        <v>35</v>
      </c>
      <c r="D724" s="5" t="s">
        <v>36</v>
      </c>
      <c r="E724" s="5" t="s">
        <v>794</v>
      </c>
      <c r="F724" s="5" t="s">
        <v>874</v>
      </c>
      <c r="G724" s="5" t="s">
        <v>39</v>
      </c>
      <c r="H724" s="5" t="s">
        <v>40</v>
      </c>
      <c r="I724" s="5" t="s">
        <v>796</v>
      </c>
      <c r="J724" s="5" t="n">
        <v>4</v>
      </c>
      <c r="K724" s="5"/>
      <c r="L724" s="6"/>
      <c r="M724" s="6"/>
      <c r="N724" s="6"/>
      <c r="O724" s="6"/>
      <c r="P724" s="5" t="str">
        <f aca="false">IF(M724="","",ROUND(M724*IFERROR(INDEX(Weights!$B$2:$B$4,MATCH(G724,Weights!$A$2:$A$4,0)),0)*IFERROR(INDEX(Weights!$B$7:$B$11,MATCH(E724,Weights!$A$7:$A$11,0)),0)*IFERROR(INDEX(Weights!$B$14:$B$17,MATCH(TEXT(J724,"0"),Weights!$A$14:$A$17,0)),0)/(1+N(N724)/50),1))</f>
        <v/>
      </c>
      <c r="Q724" s="5" t="s">
        <v>42</v>
      </c>
    </row>
    <row r="725" customFormat="false" ht="15" hidden="false" customHeight="false" outlineLevel="0" collapsed="false">
      <c r="A725" s="5" t="n">
        <v>724</v>
      </c>
      <c r="B725" s="5" t="s">
        <v>877</v>
      </c>
      <c r="C725" s="5" t="s">
        <v>47</v>
      </c>
      <c r="D725" s="5" t="s">
        <v>36</v>
      </c>
      <c r="E725" s="5" t="s">
        <v>794</v>
      </c>
      <c r="F725" s="5" t="s">
        <v>874</v>
      </c>
      <c r="G725" s="5" t="s">
        <v>39</v>
      </c>
      <c r="H725" s="5" t="s">
        <v>40</v>
      </c>
      <c r="I725" s="5" t="s">
        <v>796</v>
      </c>
      <c r="J725" s="5" t="n">
        <v>4</v>
      </c>
      <c r="K725" s="5"/>
      <c r="L725" s="6"/>
      <c r="M725" s="6"/>
      <c r="N725" s="6"/>
      <c r="O725" s="6"/>
      <c r="P725" s="5" t="str">
        <f aca="false">IF(M725="","",ROUND(M725*IFERROR(INDEX(Weights!$B$2:$B$4,MATCH(G725,Weights!$A$2:$A$4,0)),0)*IFERROR(INDEX(Weights!$B$7:$B$11,MATCH(E725,Weights!$A$7:$A$11,0)),0)*IFERROR(INDEX(Weights!$B$14:$B$17,MATCH(TEXT(J725,"0"),Weights!$A$14:$A$17,0)),0)/(1+N(N725)/50),1))</f>
        <v/>
      </c>
      <c r="Q725" s="5" t="s">
        <v>42</v>
      </c>
    </row>
    <row r="726" customFormat="false" ht="15" hidden="false" customHeight="false" outlineLevel="0" collapsed="false">
      <c r="A726" s="5" t="n">
        <v>725</v>
      </c>
      <c r="B726" s="5" t="s">
        <v>878</v>
      </c>
      <c r="C726" s="5" t="s">
        <v>47</v>
      </c>
      <c r="D726" s="5" t="s">
        <v>36</v>
      </c>
      <c r="E726" s="5" t="s">
        <v>794</v>
      </c>
      <c r="F726" s="5" t="s">
        <v>874</v>
      </c>
      <c r="G726" s="5" t="s">
        <v>39</v>
      </c>
      <c r="H726" s="5" t="s">
        <v>40</v>
      </c>
      <c r="I726" s="5" t="s">
        <v>796</v>
      </c>
      <c r="J726" s="5" t="n">
        <v>4</v>
      </c>
      <c r="K726" s="5"/>
      <c r="L726" s="6"/>
      <c r="M726" s="6"/>
      <c r="N726" s="6"/>
      <c r="O726" s="6"/>
      <c r="P726" s="5" t="str">
        <f aca="false">IF(M726="","",ROUND(M726*IFERROR(INDEX(Weights!$B$2:$B$4,MATCH(G726,Weights!$A$2:$A$4,0)),0)*IFERROR(INDEX(Weights!$B$7:$B$11,MATCH(E726,Weights!$A$7:$A$11,0)),0)*IFERROR(INDEX(Weights!$B$14:$B$17,MATCH(TEXT(J726,"0"),Weights!$A$14:$A$17,0)),0)/(1+N(N726)/50),1))</f>
        <v/>
      </c>
      <c r="Q726" s="5" t="s">
        <v>42</v>
      </c>
    </row>
    <row r="727" customFormat="false" ht="15" hidden="false" customHeight="false" outlineLevel="0" collapsed="false">
      <c r="A727" s="5" t="n">
        <v>726</v>
      </c>
      <c r="B727" s="5" t="s">
        <v>879</v>
      </c>
      <c r="C727" s="5" t="s">
        <v>47</v>
      </c>
      <c r="D727" s="5" t="s">
        <v>36</v>
      </c>
      <c r="E727" s="5" t="s">
        <v>794</v>
      </c>
      <c r="F727" s="5" t="s">
        <v>874</v>
      </c>
      <c r="G727" s="5" t="s">
        <v>39</v>
      </c>
      <c r="H727" s="5" t="s">
        <v>40</v>
      </c>
      <c r="I727" s="5" t="s">
        <v>796</v>
      </c>
      <c r="J727" s="5" t="n">
        <v>4</v>
      </c>
      <c r="K727" s="5"/>
      <c r="L727" s="6"/>
      <c r="M727" s="6"/>
      <c r="N727" s="6"/>
      <c r="O727" s="6"/>
      <c r="P727" s="5" t="str">
        <f aca="false">IF(M727="","",ROUND(M727*IFERROR(INDEX(Weights!$B$2:$B$4,MATCH(G727,Weights!$A$2:$A$4,0)),0)*IFERROR(INDEX(Weights!$B$7:$B$11,MATCH(E727,Weights!$A$7:$A$11,0)),0)*IFERROR(INDEX(Weights!$B$14:$B$17,MATCH(TEXT(J727,"0"),Weights!$A$14:$A$17,0)),0)/(1+N(N727)/50),1))</f>
        <v/>
      </c>
      <c r="Q727" s="5" t="s">
        <v>42</v>
      </c>
    </row>
    <row r="728" customFormat="false" ht="15" hidden="false" customHeight="false" outlineLevel="0" collapsed="false">
      <c r="A728" s="5" t="n">
        <v>727</v>
      </c>
      <c r="B728" s="5" t="s">
        <v>880</v>
      </c>
      <c r="C728" s="5" t="s">
        <v>47</v>
      </c>
      <c r="D728" s="5" t="s">
        <v>36</v>
      </c>
      <c r="E728" s="5" t="s">
        <v>794</v>
      </c>
      <c r="F728" s="5" t="s">
        <v>874</v>
      </c>
      <c r="G728" s="5" t="s">
        <v>39</v>
      </c>
      <c r="H728" s="5" t="s">
        <v>40</v>
      </c>
      <c r="I728" s="5" t="s">
        <v>796</v>
      </c>
      <c r="J728" s="5" t="n">
        <v>4</v>
      </c>
      <c r="K728" s="5"/>
      <c r="L728" s="6"/>
      <c r="M728" s="6"/>
      <c r="N728" s="6"/>
      <c r="O728" s="6"/>
      <c r="P728" s="5" t="str">
        <f aca="false">IF(M728="","",ROUND(M728*IFERROR(INDEX(Weights!$B$2:$B$4,MATCH(G728,Weights!$A$2:$A$4,0)),0)*IFERROR(INDEX(Weights!$B$7:$B$11,MATCH(E728,Weights!$A$7:$A$11,0)),0)*IFERROR(INDEX(Weights!$B$14:$B$17,MATCH(TEXT(J728,"0"),Weights!$A$14:$A$17,0)),0)/(1+N(N728)/50),1))</f>
        <v/>
      </c>
      <c r="Q728" s="5" t="s">
        <v>42</v>
      </c>
    </row>
    <row r="729" customFormat="false" ht="15" hidden="false" customHeight="false" outlineLevel="0" collapsed="false">
      <c r="A729" s="5" t="n">
        <v>728</v>
      </c>
      <c r="B729" s="5" t="s">
        <v>881</v>
      </c>
      <c r="C729" s="5" t="s">
        <v>51</v>
      </c>
      <c r="D729" s="5" t="s">
        <v>36</v>
      </c>
      <c r="E729" s="5" t="s">
        <v>794</v>
      </c>
      <c r="F729" s="5" t="s">
        <v>874</v>
      </c>
      <c r="G729" s="5" t="s">
        <v>39</v>
      </c>
      <c r="H729" s="5" t="s">
        <v>40</v>
      </c>
      <c r="I729" s="5" t="s">
        <v>796</v>
      </c>
      <c r="J729" s="5" t="n">
        <v>4</v>
      </c>
      <c r="K729" s="5"/>
      <c r="L729" s="6"/>
      <c r="M729" s="6"/>
      <c r="N729" s="6"/>
      <c r="O729" s="6"/>
      <c r="P729" s="5" t="str">
        <f aca="false">IF(M729="","",ROUND(M729*IFERROR(INDEX(Weights!$B$2:$B$4,MATCH(G729,Weights!$A$2:$A$4,0)),0)*IFERROR(INDEX(Weights!$B$7:$B$11,MATCH(E729,Weights!$A$7:$A$11,0)),0)*IFERROR(INDEX(Weights!$B$14:$B$17,MATCH(TEXT(J729,"0"),Weights!$A$14:$A$17,0)),0)/(1+N(N729)/50),1))</f>
        <v/>
      </c>
      <c r="Q729" s="5" t="s">
        <v>42</v>
      </c>
    </row>
    <row r="730" customFormat="false" ht="15" hidden="false" customHeight="false" outlineLevel="0" collapsed="false">
      <c r="A730" s="5" t="n">
        <v>729</v>
      </c>
      <c r="B730" s="5" t="s">
        <v>882</v>
      </c>
      <c r="C730" s="5" t="s">
        <v>51</v>
      </c>
      <c r="D730" s="5" t="s">
        <v>36</v>
      </c>
      <c r="E730" s="5" t="s">
        <v>794</v>
      </c>
      <c r="F730" s="5" t="s">
        <v>874</v>
      </c>
      <c r="G730" s="5" t="s">
        <v>39</v>
      </c>
      <c r="H730" s="5" t="s">
        <v>40</v>
      </c>
      <c r="I730" s="5" t="s">
        <v>796</v>
      </c>
      <c r="J730" s="5" t="n">
        <v>4</v>
      </c>
      <c r="K730" s="5"/>
      <c r="L730" s="6"/>
      <c r="M730" s="6"/>
      <c r="N730" s="6"/>
      <c r="O730" s="6"/>
      <c r="P730" s="5" t="str">
        <f aca="false">IF(M730="","",ROUND(M730*IFERROR(INDEX(Weights!$B$2:$B$4,MATCH(G730,Weights!$A$2:$A$4,0)),0)*IFERROR(INDEX(Weights!$B$7:$B$11,MATCH(E730,Weights!$A$7:$A$11,0)),0)*IFERROR(INDEX(Weights!$B$14:$B$17,MATCH(TEXT(J730,"0"),Weights!$A$14:$A$17,0)),0)/(1+N(N730)/50),1))</f>
        <v/>
      </c>
      <c r="Q730" s="5" t="s">
        <v>42</v>
      </c>
    </row>
    <row r="731" customFormat="false" ht="15" hidden="false" customHeight="false" outlineLevel="0" collapsed="false">
      <c r="A731" s="5" t="n">
        <v>730</v>
      </c>
      <c r="B731" s="5" t="s">
        <v>883</v>
      </c>
      <c r="C731" s="5" t="s">
        <v>51</v>
      </c>
      <c r="D731" s="5" t="s">
        <v>36</v>
      </c>
      <c r="E731" s="5" t="s">
        <v>794</v>
      </c>
      <c r="F731" s="5" t="s">
        <v>874</v>
      </c>
      <c r="G731" s="5" t="s">
        <v>39</v>
      </c>
      <c r="H731" s="5" t="s">
        <v>40</v>
      </c>
      <c r="I731" s="5" t="s">
        <v>796</v>
      </c>
      <c r="J731" s="5" t="n">
        <v>4</v>
      </c>
      <c r="K731" s="5"/>
      <c r="L731" s="6"/>
      <c r="M731" s="6"/>
      <c r="N731" s="6"/>
      <c r="O731" s="6"/>
      <c r="P731" s="5" t="str">
        <f aca="false">IF(M731="","",ROUND(M731*IFERROR(INDEX(Weights!$B$2:$B$4,MATCH(G731,Weights!$A$2:$A$4,0)),0)*IFERROR(INDEX(Weights!$B$7:$B$11,MATCH(E731,Weights!$A$7:$A$11,0)),0)*IFERROR(INDEX(Weights!$B$14:$B$17,MATCH(TEXT(J731,"0"),Weights!$A$14:$A$17,0)),0)/(1+N(N731)/50),1))</f>
        <v/>
      </c>
      <c r="Q731" s="5" t="s">
        <v>42</v>
      </c>
    </row>
    <row r="732" customFormat="false" ht="15" hidden="false" customHeight="false" outlineLevel="0" collapsed="false">
      <c r="A732" s="5" t="n">
        <v>731</v>
      </c>
      <c r="B732" s="5" t="s">
        <v>884</v>
      </c>
      <c r="C732" s="5" t="s">
        <v>54</v>
      </c>
      <c r="D732" s="5" t="s">
        <v>36</v>
      </c>
      <c r="E732" s="5" t="s">
        <v>794</v>
      </c>
      <c r="F732" s="5" t="s">
        <v>874</v>
      </c>
      <c r="G732" s="5" t="s">
        <v>39</v>
      </c>
      <c r="H732" s="5" t="s">
        <v>40</v>
      </c>
      <c r="I732" s="5" t="s">
        <v>796</v>
      </c>
      <c r="J732" s="5" t="n">
        <v>4</v>
      </c>
      <c r="K732" s="5"/>
      <c r="L732" s="6"/>
      <c r="M732" s="6"/>
      <c r="N732" s="6"/>
      <c r="O732" s="6"/>
      <c r="P732" s="5" t="str">
        <f aca="false">IF(M732="","",ROUND(M732*IFERROR(INDEX(Weights!$B$2:$B$4,MATCH(G732,Weights!$A$2:$A$4,0)),0)*IFERROR(INDEX(Weights!$B$7:$B$11,MATCH(E732,Weights!$A$7:$A$11,0)),0)*IFERROR(INDEX(Weights!$B$14:$B$17,MATCH(TEXT(J732,"0"),Weights!$A$14:$A$17,0)),0)/(1+N(N732)/50),1))</f>
        <v/>
      </c>
      <c r="Q732" s="5" t="s">
        <v>42</v>
      </c>
    </row>
    <row r="733" customFormat="false" ht="15" hidden="false" customHeight="false" outlineLevel="0" collapsed="false">
      <c r="A733" s="5" t="n">
        <v>732</v>
      </c>
      <c r="B733" s="5" t="s">
        <v>885</v>
      </c>
      <c r="C733" s="5" t="s">
        <v>54</v>
      </c>
      <c r="D733" s="5" t="s">
        <v>36</v>
      </c>
      <c r="E733" s="5" t="s">
        <v>794</v>
      </c>
      <c r="F733" s="5" t="s">
        <v>874</v>
      </c>
      <c r="G733" s="5" t="s">
        <v>39</v>
      </c>
      <c r="H733" s="5" t="s">
        <v>40</v>
      </c>
      <c r="I733" s="5" t="s">
        <v>796</v>
      </c>
      <c r="J733" s="5" t="n">
        <v>4</v>
      </c>
      <c r="K733" s="5"/>
      <c r="L733" s="6"/>
      <c r="M733" s="6"/>
      <c r="N733" s="6"/>
      <c r="O733" s="6"/>
      <c r="P733" s="5" t="str">
        <f aca="false">IF(M733="","",ROUND(M733*IFERROR(INDEX(Weights!$B$2:$B$4,MATCH(G733,Weights!$A$2:$A$4,0)),0)*IFERROR(INDEX(Weights!$B$7:$B$11,MATCH(E733,Weights!$A$7:$A$11,0)),0)*IFERROR(INDEX(Weights!$B$14:$B$17,MATCH(TEXT(J733,"0"),Weights!$A$14:$A$17,0)),0)/(1+N(N733)/50),1))</f>
        <v/>
      </c>
      <c r="Q733" s="5" t="s">
        <v>42</v>
      </c>
    </row>
    <row r="734" customFormat="false" ht="15" hidden="false" customHeight="false" outlineLevel="0" collapsed="false">
      <c r="A734" s="5" t="n">
        <v>733</v>
      </c>
      <c r="B734" s="5" t="s">
        <v>886</v>
      </c>
      <c r="C734" s="5" t="s">
        <v>57</v>
      </c>
      <c r="D734" s="5" t="s">
        <v>36</v>
      </c>
      <c r="E734" s="5" t="s">
        <v>794</v>
      </c>
      <c r="F734" s="5" t="s">
        <v>874</v>
      </c>
      <c r="G734" s="5" t="s">
        <v>39</v>
      </c>
      <c r="H734" s="5" t="s">
        <v>40</v>
      </c>
      <c r="I734" s="5" t="s">
        <v>796</v>
      </c>
      <c r="J734" s="5" t="n">
        <v>4</v>
      </c>
      <c r="K734" s="5"/>
      <c r="L734" s="6"/>
      <c r="M734" s="6"/>
      <c r="N734" s="6"/>
      <c r="O734" s="6"/>
      <c r="P734" s="5" t="str">
        <f aca="false">IF(M734="","",ROUND(M734*IFERROR(INDEX(Weights!$B$2:$B$4,MATCH(G734,Weights!$A$2:$A$4,0)),0)*IFERROR(INDEX(Weights!$B$7:$B$11,MATCH(E734,Weights!$A$7:$A$11,0)),0)*IFERROR(INDEX(Weights!$B$14:$B$17,MATCH(TEXT(J734,"0"),Weights!$A$14:$A$17,0)),0)/(1+N(N734)/50),1))</f>
        <v/>
      </c>
      <c r="Q734" s="5" t="s">
        <v>42</v>
      </c>
    </row>
    <row r="735" customFormat="false" ht="15" hidden="false" customHeight="false" outlineLevel="0" collapsed="false">
      <c r="A735" s="5" t="n">
        <v>734</v>
      </c>
      <c r="B735" s="5" t="s">
        <v>887</v>
      </c>
      <c r="C735" s="5" t="s">
        <v>57</v>
      </c>
      <c r="D735" s="5" t="s">
        <v>36</v>
      </c>
      <c r="E735" s="5" t="s">
        <v>794</v>
      </c>
      <c r="F735" s="5" t="s">
        <v>874</v>
      </c>
      <c r="G735" s="5" t="s">
        <v>39</v>
      </c>
      <c r="H735" s="5" t="s">
        <v>40</v>
      </c>
      <c r="I735" s="5" t="s">
        <v>796</v>
      </c>
      <c r="J735" s="5" t="n">
        <v>4</v>
      </c>
      <c r="K735" s="5"/>
      <c r="L735" s="6"/>
      <c r="M735" s="6"/>
      <c r="N735" s="6"/>
      <c r="O735" s="6"/>
      <c r="P735" s="5" t="str">
        <f aca="false">IF(M735="","",ROUND(M735*IFERROR(INDEX(Weights!$B$2:$B$4,MATCH(G735,Weights!$A$2:$A$4,0)),0)*IFERROR(INDEX(Weights!$B$7:$B$11,MATCH(E735,Weights!$A$7:$A$11,0)),0)*IFERROR(INDEX(Weights!$B$14:$B$17,MATCH(TEXT(J735,"0"),Weights!$A$14:$A$17,0)),0)/(1+N(N735)/50),1))</f>
        <v/>
      </c>
      <c r="Q735" s="5" t="s">
        <v>42</v>
      </c>
    </row>
    <row r="736" customFormat="false" ht="15" hidden="false" customHeight="false" outlineLevel="0" collapsed="false">
      <c r="A736" s="5" t="n">
        <v>735</v>
      </c>
      <c r="B736" s="5" t="s">
        <v>888</v>
      </c>
      <c r="C736" s="5" t="s">
        <v>57</v>
      </c>
      <c r="D736" s="5" t="s">
        <v>36</v>
      </c>
      <c r="E736" s="5" t="s">
        <v>794</v>
      </c>
      <c r="F736" s="5" t="s">
        <v>874</v>
      </c>
      <c r="G736" s="5" t="s">
        <v>39</v>
      </c>
      <c r="H736" s="5" t="s">
        <v>40</v>
      </c>
      <c r="I736" s="5" t="s">
        <v>796</v>
      </c>
      <c r="J736" s="5" t="n">
        <v>4</v>
      </c>
      <c r="K736" s="5"/>
      <c r="L736" s="6"/>
      <c r="M736" s="6"/>
      <c r="N736" s="6"/>
      <c r="O736" s="6"/>
      <c r="P736" s="5" t="str">
        <f aca="false">IF(M736="","",ROUND(M736*IFERROR(INDEX(Weights!$B$2:$B$4,MATCH(G736,Weights!$A$2:$A$4,0)),0)*IFERROR(INDEX(Weights!$B$7:$B$11,MATCH(E736,Weights!$A$7:$A$11,0)),0)*IFERROR(INDEX(Weights!$B$14:$B$17,MATCH(TEXT(J736,"0"),Weights!$A$14:$A$17,0)),0)/(1+N(N736)/50),1))</f>
        <v/>
      </c>
      <c r="Q736" s="5" t="s">
        <v>42</v>
      </c>
    </row>
    <row r="737" customFormat="false" ht="15" hidden="false" customHeight="false" outlineLevel="0" collapsed="false">
      <c r="A737" s="5" t="n">
        <v>736</v>
      </c>
      <c r="B737" s="5" t="s">
        <v>889</v>
      </c>
      <c r="C737" s="5" t="s">
        <v>464</v>
      </c>
      <c r="D737" s="5" t="s">
        <v>36</v>
      </c>
      <c r="E737" s="5" t="s">
        <v>794</v>
      </c>
      <c r="F737" s="5" t="s">
        <v>874</v>
      </c>
      <c r="G737" s="5" t="s">
        <v>39</v>
      </c>
      <c r="H737" s="5" t="s">
        <v>40</v>
      </c>
      <c r="I737" s="5" t="s">
        <v>796</v>
      </c>
      <c r="J737" s="5" t="n">
        <v>4</v>
      </c>
      <c r="K737" s="5"/>
      <c r="L737" s="6"/>
      <c r="M737" s="6"/>
      <c r="N737" s="6"/>
      <c r="O737" s="6"/>
      <c r="P737" s="5" t="str">
        <f aca="false">IF(M737="","",ROUND(M737*IFERROR(INDEX(Weights!$B$2:$B$4,MATCH(G737,Weights!$A$2:$A$4,0)),0)*IFERROR(INDEX(Weights!$B$7:$B$11,MATCH(E737,Weights!$A$7:$A$11,0)),0)*IFERROR(INDEX(Weights!$B$14:$B$17,MATCH(TEXT(J737,"0"),Weights!$A$14:$A$17,0)),0)/(1+N(N737)/50),1))</f>
        <v/>
      </c>
      <c r="Q737" s="5" t="s">
        <v>42</v>
      </c>
    </row>
    <row r="738" customFormat="false" ht="15" hidden="false" customHeight="false" outlineLevel="0" collapsed="false">
      <c r="A738" s="5" t="n">
        <v>737</v>
      </c>
      <c r="B738" s="5" t="s">
        <v>890</v>
      </c>
      <c r="C738" s="5" t="s">
        <v>464</v>
      </c>
      <c r="D738" s="5" t="s">
        <v>36</v>
      </c>
      <c r="E738" s="5" t="s">
        <v>794</v>
      </c>
      <c r="F738" s="5" t="s">
        <v>874</v>
      </c>
      <c r="G738" s="5" t="s">
        <v>39</v>
      </c>
      <c r="H738" s="5" t="s">
        <v>40</v>
      </c>
      <c r="I738" s="5" t="s">
        <v>796</v>
      </c>
      <c r="J738" s="5" t="n">
        <v>4</v>
      </c>
      <c r="K738" s="5"/>
      <c r="L738" s="6"/>
      <c r="M738" s="6"/>
      <c r="N738" s="6"/>
      <c r="O738" s="6"/>
      <c r="P738" s="5" t="str">
        <f aca="false">IF(M738="","",ROUND(M738*IFERROR(INDEX(Weights!$B$2:$B$4,MATCH(G738,Weights!$A$2:$A$4,0)),0)*IFERROR(INDEX(Weights!$B$7:$B$11,MATCH(E738,Weights!$A$7:$A$11,0)),0)*IFERROR(INDEX(Weights!$B$14:$B$17,MATCH(TEXT(J738,"0"),Weights!$A$14:$A$17,0)),0)/(1+N(N738)/50),1))</f>
        <v/>
      </c>
      <c r="Q738" s="5" t="s">
        <v>42</v>
      </c>
    </row>
    <row r="739" customFormat="false" ht="15" hidden="false" customHeight="false" outlineLevel="0" collapsed="false">
      <c r="A739" s="5" t="n">
        <v>738</v>
      </c>
      <c r="B739" s="5" t="s">
        <v>891</v>
      </c>
      <c r="C739" s="5" t="s">
        <v>464</v>
      </c>
      <c r="D739" s="5" t="s">
        <v>36</v>
      </c>
      <c r="E739" s="5" t="s">
        <v>794</v>
      </c>
      <c r="F739" s="5" t="s">
        <v>874</v>
      </c>
      <c r="G739" s="5" t="s">
        <v>39</v>
      </c>
      <c r="H739" s="5" t="s">
        <v>40</v>
      </c>
      <c r="I739" s="5" t="s">
        <v>796</v>
      </c>
      <c r="J739" s="5" t="n">
        <v>4</v>
      </c>
      <c r="K739" s="5"/>
      <c r="L739" s="6"/>
      <c r="M739" s="6"/>
      <c r="N739" s="6"/>
      <c r="O739" s="6"/>
      <c r="P739" s="5" t="str">
        <f aca="false">IF(M739="","",ROUND(M739*IFERROR(INDEX(Weights!$B$2:$B$4,MATCH(G739,Weights!$A$2:$A$4,0)),0)*IFERROR(INDEX(Weights!$B$7:$B$11,MATCH(E739,Weights!$A$7:$A$11,0)),0)*IFERROR(INDEX(Weights!$B$14:$B$17,MATCH(TEXT(J739,"0"),Weights!$A$14:$A$17,0)),0)/(1+N(N739)/50),1))</f>
        <v/>
      </c>
      <c r="Q739" s="5" t="s">
        <v>42</v>
      </c>
    </row>
    <row r="740" customFormat="false" ht="15" hidden="false" customHeight="false" outlineLevel="0" collapsed="false">
      <c r="A740" s="5" t="n">
        <v>739</v>
      </c>
      <c r="B740" s="5" t="s">
        <v>892</v>
      </c>
      <c r="C740" s="5" t="s">
        <v>456</v>
      </c>
      <c r="D740" s="5" t="s">
        <v>36</v>
      </c>
      <c r="E740" s="5" t="s">
        <v>794</v>
      </c>
      <c r="F740" s="5" t="s">
        <v>874</v>
      </c>
      <c r="G740" s="5" t="s">
        <v>39</v>
      </c>
      <c r="H740" s="5" t="s">
        <v>40</v>
      </c>
      <c r="I740" s="5" t="s">
        <v>796</v>
      </c>
      <c r="J740" s="5" t="n">
        <v>4</v>
      </c>
      <c r="K740" s="5"/>
      <c r="L740" s="6"/>
      <c r="M740" s="6"/>
      <c r="N740" s="6"/>
      <c r="O740" s="6"/>
      <c r="P740" s="5" t="str">
        <f aca="false">IF(M740="","",ROUND(M740*IFERROR(INDEX(Weights!$B$2:$B$4,MATCH(G740,Weights!$A$2:$A$4,0)),0)*IFERROR(INDEX(Weights!$B$7:$B$11,MATCH(E740,Weights!$A$7:$A$11,0)),0)*IFERROR(INDEX(Weights!$B$14:$B$17,MATCH(TEXT(J740,"0"),Weights!$A$14:$A$17,0)),0)/(1+N(N740)/50),1))</f>
        <v/>
      </c>
      <c r="Q740" s="5" t="s">
        <v>42</v>
      </c>
    </row>
    <row r="741" customFormat="false" ht="15" hidden="false" customHeight="false" outlineLevel="0" collapsed="false">
      <c r="A741" s="5" t="n">
        <v>740</v>
      </c>
      <c r="B741" s="5" t="s">
        <v>893</v>
      </c>
      <c r="C741" s="5" t="s">
        <v>456</v>
      </c>
      <c r="D741" s="5" t="s">
        <v>36</v>
      </c>
      <c r="E741" s="5" t="s">
        <v>794</v>
      </c>
      <c r="F741" s="5" t="s">
        <v>874</v>
      </c>
      <c r="G741" s="5" t="s">
        <v>39</v>
      </c>
      <c r="H741" s="5" t="s">
        <v>40</v>
      </c>
      <c r="I741" s="5" t="s">
        <v>796</v>
      </c>
      <c r="J741" s="5" t="n">
        <v>4</v>
      </c>
      <c r="K741" s="5"/>
      <c r="L741" s="6"/>
      <c r="M741" s="6"/>
      <c r="N741" s="6"/>
      <c r="O741" s="6"/>
      <c r="P741" s="5" t="str">
        <f aca="false">IF(M741="","",ROUND(M741*IFERROR(INDEX(Weights!$B$2:$B$4,MATCH(G741,Weights!$A$2:$A$4,0)),0)*IFERROR(INDEX(Weights!$B$7:$B$11,MATCH(E741,Weights!$A$7:$A$11,0)),0)*IFERROR(INDEX(Weights!$B$14:$B$17,MATCH(TEXT(J741,"0"),Weights!$A$14:$A$17,0)),0)/(1+N(N741)/50),1))</f>
        <v/>
      </c>
      <c r="Q741" s="5" t="s">
        <v>42</v>
      </c>
    </row>
    <row r="742" customFormat="false" ht="15" hidden="false" customHeight="false" outlineLevel="0" collapsed="false">
      <c r="A742" s="5" t="n">
        <v>741</v>
      </c>
      <c r="B742" s="5" t="s">
        <v>894</v>
      </c>
      <c r="C742" s="5" t="s">
        <v>64</v>
      </c>
      <c r="D742" s="5" t="s">
        <v>36</v>
      </c>
      <c r="E742" s="5" t="s">
        <v>794</v>
      </c>
      <c r="F742" s="5" t="s">
        <v>874</v>
      </c>
      <c r="G742" s="5" t="s">
        <v>39</v>
      </c>
      <c r="H742" s="5" t="s">
        <v>40</v>
      </c>
      <c r="I742" s="5" t="s">
        <v>796</v>
      </c>
      <c r="J742" s="5" t="n">
        <v>4</v>
      </c>
      <c r="K742" s="5"/>
      <c r="L742" s="6"/>
      <c r="M742" s="6"/>
      <c r="N742" s="6"/>
      <c r="O742" s="6"/>
      <c r="P742" s="5" t="str">
        <f aca="false">IF(M742="","",ROUND(M742*IFERROR(INDEX(Weights!$B$2:$B$4,MATCH(G742,Weights!$A$2:$A$4,0)),0)*IFERROR(INDEX(Weights!$B$7:$B$11,MATCH(E742,Weights!$A$7:$A$11,0)),0)*IFERROR(INDEX(Weights!$B$14:$B$17,MATCH(TEXT(J742,"0"),Weights!$A$14:$A$17,0)),0)/(1+N(N742)/50),1))</f>
        <v/>
      </c>
      <c r="Q742" s="5" t="s">
        <v>42</v>
      </c>
    </row>
    <row r="743" customFormat="false" ht="15" hidden="false" customHeight="false" outlineLevel="0" collapsed="false">
      <c r="A743" s="5" t="n">
        <v>742</v>
      </c>
      <c r="B743" s="5" t="s">
        <v>895</v>
      </c>
      <c r="C743" s="5" t="s">
        <v>64</v>
      </c>
      <c r="D743" s="5" t="s">
        <v>36</v>
      </c>
      <c r="E743" s="5" t="s">
        <v>794</v>
      </c>
      <c r="F743" s="5" t="s">
        <v>874</v>
      </c>
      <c r="G743" s="5" t="s">
        <v>39</v>
      </c>
      <c r="H743" s="5" t="s">
        <v>40</v>
      </c>
      <c r="I743" s="5" t="s">
        <v>796</v>
      </c>
      <c r="J743" s="5" t="n">
        <v>4</v>
      </c>
      <c r="K743" s="5"/>
      <c r="L743" s="6"/>
      <c r="M743" s="6"/>
      <c r="N743" s="6"/>
      <c r="O743" s="6"/>
      <c r="P743" s="5" t="str">
        <f aca="false">IF(M743="","",ROUND(M743*IFERROR(INDEX(Weights!$B$2:$B$4,MATCH(G743,Weights!$A$2:$A$4,0)),0)*IFERROR(INDEX(Weights!$B$7:$B$11,MATCH(E743,Weights!$A$7:$A$11,0)),0)*IFERROR(INDEX(Weights!$B$14:$B$17,MATCH(TEXT(J743,"0"),Weights!$A$14:$A$17,0)),0)/(1+N(N743)/50),1))</f>
        <v/>
      </c>
      <c r="Q743" s="5" t="s">
        <v>42</v>
      </c>
    </row>
    <row r="744" customFormat="false" ht="15" hidden="false" customHeight="false" outlineLevel="0" collapsed="false">
      <c r="A744" s="5" t="n">
        <v>743</v>
      </c>
      <c r="B744" s="5" t="s">
        <v>896</v>
      </c>
      <c r="C744" s="5" t="s">
        <v>61</v>
      </c>
      <c r="D744" s="5" t="s">
        <v>36</v>
      </c>
      <c r="E744" s="5" t="s">
        <v>794</v>
      </c>
      <c r="F744" s="5" t="s">
        <v>874</v>
      </c>
      <c r="G744" s="5" t="s">
        <v>39</v>
      </c>
      <c r="H744" s="5" t="s">
        <v>40</v>
      </c>
      <c r="I744" s="5" t="s">
        <v>796</v>
      </c>
      <c r="J744" s="5" t="n">
        <v>4</v>
      </c>
      <c r="K744" s="5"/>
      <c r="L744" s="6"/>
      <c r="M744" s="6"/>
      <c r="N744" s="6"/>
      <c r="O744" s="6"/>
      <c r="P744" s="5" t="str">
        <f aca="false">IF(M744="","",ROUND(M744*IFERROR(INDEX(Weights!$B$2:$B$4,MATCH(G744,Weights!$A$2:$A$4,0)),0)*IFERROR(INDEX(Weights!$B$7:$B$11,MATCH(E744,Weights!$A$7:$A$11,0)),0)*IFERROR(INDEX(Weights!$B$14:$B$17,MATCH(TEXT(J744,"0"),Weights!$A$14:$A$17,0)),0)/(1+N(N744)/50),1))</f>
        <v/>
      </c>
      <c r="Q744" s="5" t="s">
        <v>42</v>
      </c>
    </row>
    <row r="745" customFormat="false" ht="15" hidden="false" customHeight="false" outlineLevel="0" collapsed="false">
      <c r="A745" s="5" t="n">
        <v>744</v>
      </c>
      <c r="B745" s="5" t="s">
        <v>897</v>
      </c>
      <c r="C745" s="5" t="s">
        <v>66</v>
      </c>
      <c r="D745" s="5" t="s">
        <v>36</v>
      </c>
      <c r="E745" s="5" t="s">
        <v>794</v>
      </c>
      <c r="F745" s="5" t="s">
        <v>874</v>
      </c>
      <c r="G745" s="5" t="s">
        <v>39</v>
      </c>
      <c r="H745" s="5" t="s">
        <v>40</v>
      </c>
      <c r="I745" s="5" t="s">
        <v>796</v>
      </c>
      <c r="J745" s="5" t="n">
        <v>4</v>
      </c>
      <c r="K745" s="5"/>
      <c r="L745" s="6"/>
      <c r="M745" s="6"/>
      <c r="N745" s="6"/>
      <c r="O745" s="6"/>
      <c r="P745" s="5" t="str">
        <f aca="false">IF(M745="","",ROUND(M745*IFERROR(INDEX(Weights!$B$2:$B$4,MATCH(G745,Weights!$A$2:$A$4,0)),0)*IFERROR(INDEX(Weights!$B$7:$B$11,MATCH(E745,Weights!$A$7:$A$11,0)),0)*IFERROR(INDEX(Weights!$B$14:$B$17,MATCH(TEXT(J745,"0"),Weights!$A$14:$A$17,0)),0)/(1+N(N745)/50),1))</f>
        <v/>
      </c>
      <c r="Q745" s="5" t="s">
        <v>42</v>
      </c>
    </row>
    <row r="746" customFormat="false" ht="15" hidden="false" customHeight="false" outlineLevel="0" collapsed="false">
      <c r="A746" s="5" t="n">
        <v>745</v>
      </c>
      <c r="B746" s="5" t="s">
        <v>898</v>
      </c>
      <c r="C746" s="5" t="s">
        <v>69</v>
      </c>
      <c r="D746" s="5" t="s">
        <v>36</v>
      </c>
      <c r="E746" s="5" t="s">
        <v>794</v>
      </c>
      <c r="F746" s="5" t="s">
        <v>874</v>
      </c>
      <c r="G746" s="5" t="s">
        <v>39</v>
      </c>
      <c r="H746" s="5" t="s">
        <v>40</v>
      </c>
      <c r="I746" s="5" t="s">
        <v>796</v>
      </c>
      <c r="J746" s="5" t="n">
        <v>4</v>
      </c>
      <c r="K746" s="5"/>
      <c r="L746" s="6"/>
      <c r="M746" s="6"/>
      <c r="N746" s="6"/>
      <c r="O746" s="6"/>
      <c r="P746" s="5" t="str">
        <f aca="false">IF(M746="","",ROUND(M746*IFERROR(INDEX(Weights!$B$2:$B$4,MATCH(G746,Weights!$A$2:$A$4,0)),0)*IFERROR(INDEX(Weights!$B$7:$B$11,MATCH(E746,Weights!$A$7:$A$11,0)),0)*IFERROR(INDEX(Weights!$B$14:$B$17,MATCH(TEXT(J746,"0"),Weights!$A$14:$A$17,0)),0)/(1+N(N746)/50),1))</f>
        <v/>
      </c>
      <c r="Q746" s="5" t="s">
        <v>42</v>
      </c>
    </row>
    <row r="747" customFormat="false" ht="15" hidden="false" customHeight="false" outlineLevel="0" collapsed="false">
      <c r="A747" s="5" t="n">
        <v>746</v>
      </c>
      <c r="B747" s="5" t="s">
        <v>899</v>
      </c>
      <c r="C747" s="5" t="s">
        <v>35</v>
      </c>
      <c r="D747" s="5" t="s">
        <v>36</v>
      </c>
      <c r="E747" s="5" t="s">
        <v>794</v>
      </c>
      <c r="F747" s="5" t="s">
        <v>900</v>
      </c>
      <c r="G747" s="5" t="s">
        <v>39</v>
      </c>
      <c r="H747" s="5" t="s">
        <v>40</v>
      </c>
      <c r="I747" s="5" t="s">
        <v>796</v>
      </c>
      <c r="J747" s="5" t="n">
        <v>4</v>
      </c>
      <c r="K747" s="5"/>
      <c r="L747" s="6"/>
      <c r="M747" s="6"/>
      <c r="N747" s="6"/>
      <c r="O747" s="6"/>
      <c r="P747" s="5" t="str">
        <f aca="false">IF(M747="","",ROUND(M747*IFERROR(INDEX(Weights!$B$2:$B$4,MATCH(G747,Weights!$A$2:$A$4,0)),0)*IFERROR(INDEX(Weights!$B$7:$B$11,MATCH(E747,Weights!$A$7:$A$11,0)),0)*IFERROR(INDEX(Weights!$B$14:$B$17,MATCH(TEXT(J747,"0"),Weights!$A$14:$A$17,0)),0)/(1+N(N747)/50),1))</f>
        <v/>
      </c>
      <c r="Q747" s="5" t="s">
        <v>42</v>
      </c>
    </row>
    <row r="748" customFormat="false" ht="15" hidden="false" customHeight="false" outlineLevel="0" collapsed="false">
      <c r="A748" s="5" t="n">
        <v>747</v>
      </c>
      <c r="B748" s="5" t="s">
        <v>901</v>
      </c>
      <c r="C748" s="5" t="s">
        <v>35</v>
      </c>
      <c r="D748" s="5" t="s">
        <v>36</v>
      </c>
      <c r="E748" s="5" t="s">
        <v>794</v>
      </c>
      <c r="F748" s="5" t="s">
        <v>900</v>
      </c>
      <c r="G748" s="5" t="s">
        <v>39</v>
      </c>
      <c r="H748" s="5" t="s">
        <v>40</v>
      </c>
      <c r="I748" s="5" t="s">
        <v>796</v>
      </c>
      <c r="J748" s="5" t="n">
        <v>4</v>
      </c>
      <c r="K748" s="5"/>
      <c r="L748" s="6"/>
      <c r="M748" s="6"/>
      <c r="N748" s="6"/>
      <c r="O748" s="6"/>
      <c r="P748" s="5" t="str">
        <f aca="false">IF(M748="","",ROUND(M748*IFERROR(INDEX(Weights!$B$2:$B$4,MATCH(G748,Weights!$A$2:$A$4,0)),0)*IFERROR(INDEX(Weights!$B$7:$B$11,MATCH(E748,Weights!$A$7:$A$11,0)),0)*IFERROR(INDEX(Weights!$B$14:$B$17,MATCH(TEXT(J748,"0"),Weights!$A$14:$A$17,0)),0)/(1+N(N748)/50),1))</f>
        <v/>
      </c>
      <c r="Q748" s="5" t="s">
        <v>42</v>
      </c>
    </row>
    <row r="749" customFormat="false" ht="15" hidden="false" customHeight="false" outlineLevel="0" collapsed="false">
      <c r="A749" s="5" t="n">
        <v>748</v>
      </c>
      <c r="B749" s="5" t="s">
        <v>902</v>
      </c>
      <c r="C749" s="5" t="s">
        <v>35</v>
      </c>
      <c r="D749" s="5" t="s">
        <v>36</v>
      </c>
      <c r="E749" s="5" t="s">
        <v>794</v>
      </c>
      <c r="F749" s="5" t="s">
        <v>900</v>
      </c>
      <c r="G749" s="5" t="s">
        <v>39</v>
      </c>
      <c r="H749" s="5" t="s">
        <v>40</v>
      </c>
      <c r="I749" s="5" t="s">
        <v>796</v>
      </c>
      <c r="J749" s="5" t="n">
        <v>4</v>
      </c>
      <c r="K749" s="5"/>
      <c r="L749" s="6"/>
      <c r="M749" s="6"/>
      <c r="N749" s="6"/>
      <c r="O749" s="6"/>
      <c r="P749" s="5" t="str">
        <f aca="false">IF(M749="","",ROUND(M749*IFERROR(INDEX(Weights!$B$2:$B$4,MATCH(G749,Weights!$A$2:$A$4,0)),0)*IFERROR(INDEX(Weights!$B$7:$B$11,MATCH(E749,Weights!$A$7:$A$11,0)),0)*IFERROR(INDEX(Weights!$B$14:$B$17,MATCH(TEXT(J749,"0"),Weights!$A$14:$A$17,0)),0)/(1+N(N749)/50),1))</f>
        <v/>
      </c>
      <c r="Q749" s="5" t="s">
        <v>42</v>
      </c>
    </row>
    <row r="750" customFormat="false" ht="15" hidden="false" customHeight="false" outlineLevel="0" collapsed="false">
      <c r="A750" s="5" t="n">
        <v>749</v>
      </c>
      <c r="B750" s="5" t="s">
        <v>903</v>
      </c>
      <c r="C750" s="5" t="s">
        <v>47</v>
      </c>
      <c r="D750" s="5" t="s">
        <v>36</v>
      </c>
      <c r="E750" s="5" t="s">
        <v>794</v>
      </c>
      <c r="F750" s="5" t="s">
        <v>900</v>
      </c>
      <c r="G750" s="5" t="s">
        <v>39</v>
      </c>
      <c r="H750" s="5" t="s">
        <v>40</v>
      </c>
      <c r="I750" s="5" t="s">
        <v>796</v>
      </c>
      <c r="J750" s="5" t="n">
        <v>4</v>
      </c>
      <c r="K750" s="5"/>
      <c r="L750" s="6"/>
      <c r="M750" s="6"/>
      <c r="N750" s="6"/>
      <c r="O750" s="6"/>
      <c r="P750" s="5" t="str">
        <f aca="false">IF(M750="","",ROUND(M750*IFERROR(INDEX(Weights!$B$2:$B$4,MATCH(G750,Weights!$A$2:$A$4,0)),0)*IFERROR(INDEX(Weights!$B$7:$B$11,MATCH(E750,Weights!$A$7:$A$11,0)),0)*IFERROR(INDEX(Weights!$B$14:$B$17,MATCH(TEXT(J750,"0"),Weights!$A$14:$A$17,0)),0)/(1+N(N750)/50),1))</f>
        <v/>
      </c>
      <c r="Q750" s="5" t="s">
        <v>42</v>
      </c>
    </row>
    <row r="751" customFormat="false" ht="15" hidden="false" customHeight="false" outlineLevel="0" collapsed="false">
      <c r="A751" s="5" t="n">
        <v>750</v>
      </c>
      <c r="B751" s="5" t="s">
        <v>904</v>
      </c>
      <c r="C751" s="5" t="s">
        <v>47</v>
      </c>
      <c r="D751" s="5" t="s">
        <v>36</v>
      </c>
      <c r="E751" s="5" t="s">
        <v>794</v>
      </c>
      <c r="F751" s="5" t="s">
        <v>900</v>
      </c>
      <c r="G751" s="5" t="s">
        <v>39</v>
      </c>
      <c r="H751" s="5" t="s">
        <v>40</v>
      </c>
      <c r="I751" s="5" t="s">
        <v>796</v>
      </c>
      <c r="J751" s="5" t="n">
        <v>4</v>
      </c>
      <c r="K751" s="5"/>
      <c r="L751" s="6"/>
      <c r="M751" s="6"/>
      <c r="N751" s="6"/>
      <c r="O751" s="6"/>
      <c r="P751" s="5" t="str">
        <f aca="false">IF(M751="","",ROUND(M751*IFERROR(INDEX(Weights!$B$2:$B$4,MATCH(G751,Weights!$A$2:$A$4,0)),0)*IFERROR(INDEX(Weights!$B$7:$B$11,MATCH(E751,Weights!$A$7:$A$11,0)),0)*IFERROR(INDEX(Weights!$B$14:$B$17,MATCH(TEXT(J751,"0"),Weights!$A$14:$A$17,0)),0)/(1+N(N751)/50),1))</f>
        <v/>
      </c>
      <c r="Q751" s="5" t="s">
        <v>42</v>
      </c>
    </row>
    <row r="752" customFormat="false" ht="15" hidden="false" customHeight="false" outlineLevel="0" collapsed="false">
      <c r="A752" s="5" t="n">
        <v>751</v>
      </c>
      <c r="B752" s="5" t="s">
        <v>905</v>
      </c>
      <c r="C752" s="5" t="s">
        <v>47</v>
      </c>
      <c r="D752" s="5" t="s">
        <v>36</v>
      </c>
      <c r="E752" s="5" t="s">
        <v>794</v>
      </c>
      <c r="F752" s="5" t="s">
        <v>900</v>
      </c>
      <c r="G752" s="5" t="s">
        <v>39</v>
      </c>
      <c r="H752" s="5" t="s">
        <v>40</v>
      </c>
      <c r="I752" s="5" t="s">
        <v>796</v>
      </c>
      <c r="J752" s="5" t="n">
        <v>4</v>
      </c>
      <c r="K752" s="5"/>
      <c r="L752" s="6"/>
      <c r="M752" s="6"/>
      <c r="N752" s="6"/>
      <c r="O752" s="6"/>
      <c r="P752" s="5" t="str">
        <f aca="false">IF(M752="","",ROUND(M752*IFERROR(INDEX(Weights!$B$2:$B$4,MATCH(G752,Weights!$A$2:$A$4,0)),0)*IFERROR(INDEX(Weights!$B$7:$B$11,MATCH(E752,Weights!$A$7:$A$11,0)),0)*IFERROR(INDEX(Weights!$B$14:$B$17,MATCH(TEXT(J752,"0"),Weights!$A$14:$A$17,0)),0)/(1+N(N752)/50),1))</f>
        <v/>
      </c>
      <c r="Q752" s="5" t="s">
        <v>42</v>
      </c>
    </row>
    <row r="753" customFormat="false" ht="15" hidden="false" customHeight="false" outlineLevel="0" collapsed="false">
      <c r="A753" s="5" t="n">
        <v>752</v>
      </c>
      <c r="B753" s="5" t="s">
        <v>906</v>
      </c>
      <c r="C753" s="5" t="s">
        <v>47</v>
      </c>
      <c r="D753" s="5" t="s">
        <v>36</v>
      </c>
      <c r="E753" s="5" t="s">
        <v>794</v>
      </c>
      <c r="F753" s="5" t="s">
        <v>900</v>
      </c>
      <c r="G753" s="5" t="s">
        <v>39</v>
      </c>
      <c r="H753" s="5" t="s">
        <v>40</v>
      </c>
      <c r="I753" s="5" t="s">
        <v>796</v>
      </c>
      <c r="J753" s="5" t="n">
        <v>4</v>
      </c>
      <c r="K753" s="5"/>
      <c r="L753" s="6"/>
      <c r="M753" s="6"/>
      <c r="N753" s="6"/>
      <c r="O753" s="6"/>
      <c r="P753" s="5" t="str">
        <f aca="false">IF(M753="","",ROUND(M753*IFERROR(INDEX(Weights!$B$2:$B$4,MATCH(G753,Weights!$A$2:$A$4,0)),0)*IFERROR(INDEX(Weights!$B$7:$B$11,MATCH(E753,Weights!$A$7:$A$11,0)),0)*IFERROR(INDEX(Weights!$B$14:$B$17,MATCH(TEXT(J753,"0"),Weights!$A$14:$A$17,0)),0)/(1+N(N753)/50),1))</f>
        <v/>
      </c>
      <c r="Q753" s="5" t="s">
        <v>42</v>
      </c>
    </row>
    <row r="754" customFormat="false" ht="15" hidden="false" customHeight="false" outlineLevel="0" collapsed="false">
      <c r="A754" s="5" t="n">
        <v>753</v>
      </c>
      <c r="B754" s="5" t="s">
        <v>907</v>
      </c>
      <c r="C754" s="5" t="s">
        <v>51</v>
      </c>
      <c r="D754" s="5" t="s">
        <v>36</v>
      </c>
      <c r="E754" s="5" t="s">
        <v>794</v>
      </c>
      <c r="F754" s="5" t="s">
        <v>900</v>
      </c>
      <c r="G754" s="5" t="s">
        <v>39</v>
      </c>
      <c r="H754" s="5" t="s">
        <v>40</v>
      </c>
      <c r="I754" s="5" t="s">
        <v>796</v>
      </c>
      <c r="J754" s="5" t="n">
        <v>4</v>
      </c>
      <c r="K754" s="5"/>
      <c r="L754" s="6"/>
      <c r="M754" s="6"/>
      <c r="N754" s="6"/>
      <c r="O754" s="6"/>
      <c r="P754" s="5" t="str">
        <f aca="false">IF(M754="","",ROUND(M754*IFERROR(INDEX(Weights!$B$2:$B$4,MATCH(G754,Weights!$A$2:$A$4,0)),0)*IFERROR(INDEX(Weights!$B$7:$B$11,MATCH(E754,Weights!$A$7:$A$11,0)),0)*IFERROR(INDEX(Weights!$B$14:$B$17,MATCH(TEXT(J754,"0"),Weights!$A$14:$A$17,0)),0)/(1+N(N754)/50),1))</f>
        <v/>
      </c>
      <c r="Q754" s="5" t="s">
        <v>42</v>
      </c>
    </row>
    <row r="755" customFormat="false" ht="15" hidden="false" customHeight="false" outlineLevel="0" collapsed="false">
      <c r="A755" s="5" t="n">
        <v>754</v>
      </c>
      <c r="B755" s="5" t="s">
        <v>908</v>
      </c>
      <c r="C755" s="5" t="s">
        <v>51</v>
      </c>
      <c r="D755" s="5" t="s">
        <v>36</v>
      </c>
      <c r="E755" s="5" t="s">
        <v>794</v>
      </c>
      <c r="F755" s="5" t="s">
        <v>900</v>
      </c>
      <c r="G755" s="5" t="s">
        <v>39</v>
      </c>
      <c r="H755" s="5" t="s">
        <v>40</v>
      </c>
      <c r="I755" s="5" t="s">
        <v>796</v>
      </c>
      <c r="J755" s="5" t="n">
        <v>4</v>
      </c>
      <c r="K755" s="5"/>
      <c r="L755" s="6"/>
      <c r="M755" s="6"/>
      <c r="N755" s="6"/>
      <c r="O755" s="6"/>
      <c r="P755" s="5" t="str">
        <f aca="false">IF(M755="","",ROUND(M755*IFERROR(INDEX(Weights!$B$2:$B$4,MATCH(G755,Weights!$A$2:$A$4,0)),0)*IFERROR(INDEX(Weights!$B$7:$B$11,MATCH(E755,Weights!$A$7:$A$11,0)),0)*IFERROR(INDEX(Weights!$B$14:$B$17,MATCH(TEXT(J755,"0"),Weights!$A$14:$A$17,0)),0)/(1+N(N755)/50),1))</f>
        <v/>
      </c>
      <c r="Q755" s="5" t="s">
        <v>42</v>
      </c>
    </row>
    <row r="756" customFormat="false" ht="15" hidden="false" customHeight="false" outlineLevel="0" collapsed="false">
      <c r="A756" s="5" t="n">
        <v>755</v>
      </c>
      <c r="B756" s="5" t="s">
        <v>909</v>
      </c>
      <c r="C756" s="5" t="s">
        <v>51</v>
      </c>
      <c r="D756" s="5" t="s">
        <v>36</v>
      </c>
      <c r="E756" s="5" t="s">
        <v>794</v>
      </c>
      <c r="F756" s="5" t="s">
        <v>900</v>
      </c>
      <c r="G756" s="5" t="s">
        <v>39</v>
      </c>
      <c r="H756" s="5" t="s">
        <v>40</v>
      </c>
      <c r="I756" s="5" t="s">
        <v>796</v>
      </c>
      <c r="J756" s="5" t="n">
        <v>4</v>
      </c>
      <c r="K756" s="5"/>
      <c r="L756" s="6"/>
      <c r="M756" s="6"/>
      <c r="N756" s="6"/>
      <c r="O756" s="6"/>
      <c r="P756" s="5" t="str">
        <f aca="false">IF(M756="","",ROUND(M756*IFERROR(INDEX(Weights!$B$2:$B$4,MATCH(G756,Weights!$A$2:$A$4,0)),0)*IFERROR(INDEX(Weights!$B$7:$B$11,MATCH(E756,Weights!$A$7:$A$11,0)),0)*IFERROR(INDEX(Weights!$B$14:$B$17,MATCH(TEXT(J756,"0"),Weights!$A$14:$A$17,0)),0)/(1+N(N756)/50),1))</f>
        <v/>
      </c>
      <c r="Q756" s="5" t="s">
        <v>42</v>
      </c>
    </row>
    <row r="757" customFormat="false" ht="15" hidden="false" customHeight="false" outlineLevel="0" collapsed="false">
      <c r="A757" s="5" t="n">
        <v>756</v>
      </c>
      <c r="B757" s="5" t="s">
        <v>910</v>
      </c>
      <c r="C757" s="5" t="s">
        <v>54</v>
      </c>
      <c r="D757" s="5" t="s">
        <v>36</v>
      </c>
      <c r="E757" s="5" t="s">
        <v>794</v>
      </c>
      <c r="F757" s="5" t="s">
        <v>900</v>
      </c>
      <c r="G757" s="5" t="s">
        <v>39</v>
      </c>
      <c r="H757" s="5" t="s">
        <v>40</v>
      </c>
      <c r="I757" s="5" t="s">
        <v>796</v>
      </c>
      <c r="J757" s="5" t="n">
        <v>4</v>
      </c>
      <c r="K757" s="5"/>
      <c r="L757" s="6"/>
      <c r="M757" s="6"/>
      <c r="N757" s="6"/>
      <c r="O757" s="6"/>
      <c r="P757" s="5" t="str">
        <f aca="false">IF(M757="","",ROUND(M757*IFERROR(INDEX(Weights!$B$2:$B$4,MATCH(G757,Weights!$A$2:$A$4,0)),0)*IFERROR(INDEX(Weights!$B$7:$B$11,MATCH(E757,Weights!$A$7:$A$11,0)),0)*IFERROR(INDEX(Weights!$B$14:$B$17,MATCH(TEXT(J757,"0"),Weights!$A$14:$A$17,0)),0)/(1+N(N757)/50),1))</f>
        <v/>
      </c>
      <c r="Q757" s="5" t="s">
        <v>42</v>
      </c>
    </row>
    <row r="758" customFormat="false" ht="15" hidden="false" customHeight="false" outlineLevel="0" collapsed="false">
      <c r="A758" s="5" t="n">
        <v>757</v>
      </c>
      <c r="B758" s="5" t="s">
        <v>911</v>
      </c>
      <c r="C758" s="5" t="s">
        <v>54</v>
      </c>
      <c r="D758" s="5" t="s">
        <v>36</v>
      </c>
      <c r="E758" s="5" t="s">
        <v>794</v>
      </c>
      <c r="F758" s="5" t="s">
        <v>900</v>
      </c>
      <c r="G758" s="5" t="s">
        <v>39</v>
      </c>
      <c r="H758" s="5" t="s">
        <v>40</v>
      </c>
      <c r="I758" s="5" t="s">
        <v>796</v>
      </c>
      <c r="J758" s="5" t="n">
        <v>4</v>
      </c>
      <c r="K758" s="5"/>
      <c r="L758" s="6"/>
      <c r="M758" s="6"/>
      <c r="N758" s="6"/>
      <c r="O758" s="6"/>
      <c r="P758" s="5" t="str">
        <f aca="false">IF(M758="","",ROUND(M758*IFERROR(INDEX(Weights!$B$2:$B$4,MATCH(G758,Weights!$A$2:$A$4,0)),0)*IFERROR(INDEX(Weights!$B$7:$B$11,MATCH(E758,Weights!$A$7:$A$11,0)),0)*IFERROR(INDEX(Weights!$B$14:$B$17,MATCH(TEXT(J758,"0"),Weights!$A$14:$A$17,0)),0)/(1+N(N758)/50),1))</f>
        <v/>
      </c>
      <c r="Q758" s="5" t="s">
        <v>42</v>
      </c>
    </row>
    <row r="759" customFormat="false" ht="15" hidden="false" customHeight="false" outlineLevel="0" collapsed="false">
      <c r="A759" s="5" t="n">
        <v>758</v>
      </c>
      <c r="B759" s="5" t="s">
        <v>912</v>
      </c>
      <c r="C759" s="5" t="s">
        <v>57</v>
      </c>
      <c r="D759" s="5" t="s">
        <v>36</v>
      </c>
      <c r="E759" s="5" t="s">
        <v>794</v>
      </c>
      <c r="F759" s="5" t="s">
        <v>900</v>
      </c>
      <c r="G759" s="5" t="s">
        <v>39</v>
      </c>
      <c r="H759" s="5" t="s">
        <v>40</v>
      </c>
      <c r="I759" s="5" t="s">
        <v>796</v>
      </c>
      <c r="J759" s="5" t="n">
        <v>4</v>
      </c>
      <c r="K759" s="5"/>
      <c r="L759" s="6"/>
      <c r="M759" s="6"/>
      <c r="N759" s="6"/>
      <c r="O759" s="6"/>
      <c r="P759" s="5" t="str">
        <f aca="false">IF(M759="","",ROUND(M759*IFERROR(INDEX(Weights!$B$2:$B$4,MATCH(G759,Weights!$A$2:$A$4,0)),0)*IFERROR(INDEX(Weights!$B$7:$B$11,MATCH(E759,Weights!$A$7:$A$11,0)),0)*IFERROR(INDEX(Weights!$B$14:$B$17,MATCH(TEXT(J759,"0"),Weights!$A$14:$A$17,0)),0)/(1+N(N759)/50),1))</f>
        <v/>
      </c>
      <c r="Q759" s="5" t="s">
        <v>42</v>
      </c>
    </row>
    <row r="760" customFormat="false" ht="15" hidden="false" customHeight="false" outlineLevel="0" collapsed="false">
      <c r="A760" s="5" t="n">
        <v>759</v>
      </c>
      <c r="B760" s="5" t="s">
        <v>913</v>
      </c>
      <c r="C760" s="5" t="s">
        <v>57</v>
      </c>
      <c r="D760" s="5" t="s">
        <v>36</v>
      </c>
      <c r="E760" s="5" t="s">
        <v>794</v>
      </c>
      <c r="F760" s="5" t="s">
        <v>900</v>
      </c>
      <c r="G760" s="5" t="s">
        <v>39</v>
      </c>
      <c r="H760" s="5" t="s">
        <v>40</v>
      </c>
      <c r="I760" s="5" t="s">
        <v>796</v>
      </c>
      <c r="J760" s="5" t="n">
        <v>4</v>
      </c>
      <c r="K760" s="5"/>
      <c r="L760" s="6"/>
      <c r="M760" s="6"/>
      <c r="N760" s="6"/>
      <c r="O760" s="6"/>
      <c r="P760" s="5" t="str">
        <f aca="false">IF(M760="","",ROUND(M760*IFERROR(INDEX(Weights!$B$2:$B$4,MATCH(G760,Weights!$A$2:$A$4,0)),0)*IFERROR(INDEX(Weights!$B$7:$B$11,MATCH(E760,Weights!$A$7:$A$11,0)),0)*IFERROR(INDEX(Weights!$B$14:$B$17,MATCH(TEXT(J760,"0"),Weights!$A$14:$A$17,0)),0)/(1+N(N760)/50),1))</f>
        <v/>
      </c>
      <c r="Q760" s="5" t="s">
        <v>42</v>
      </c>
    </row>
    <row r="761" customFormat="false" ht="15" hidden="false" customHeight="false" outlineLevel="0" collapsed="false">
      <c r="A761" s="5" t="n">
        <v>760</v>
      </c>
      <c r="B761" s="5" t="s">
        <v>914</v>
      </c>
      <c r="C761" s="5" t="s">
        <v>57</v>
      </c>
      <c r="D761" s="5" t="s">
        <v>36</v>
      </c>
      <c r="E761" s="5" t="s">
        <v>794</v>
      </c>
      <c r="F761" s="5" t="s">
        <v>900</v>
      </c>
      <c r="G761" s="5" t="s">
        <v>39</v>
      </c>
      <c r="H761" s="5" t="s">
        <v>40</v>
      </c>
      <c r="I761" s="5" t="s">
        <v>796</v>
      </c>
      <c r="J761" s="5" t="n">
        <v>4</v>
      </c>
      <c r="K761" s="5"/>
      <c r="L761" s="6"/>
      <c r="M761" s="6"/>
      <c r="N761" s="6"/>
      <c r="O761" s="6"/>
      <c r="P761" s="5" t="str">
        <f aca="false">IF(M761="","",ROUND(M761*IFERROR(INDEX(Weights!$B$2:$B$4,MATCH(G761,Weights!$A$2:$A$4,0)),0)*IFERROR(INDEX(Weights!$B$7:$B$11,MATCH(E761,Weights!$A$7:$A$11,0)),0)*IFERROR(INDEX(Weights!$B$14:$B$17,MATCH(TEXT(J761,"0"),Weights!$A$14:$A$17,0)),0)/(1+N(N761)/50),1))</f>
        <v/>
      </c>
      <c r="Q761" s="5" t="s">
        <v>42</v>
      </c>
    </row>
    <row r="762" customFormat="false" ht="15" hidden="false" customHeight="false" outlineLevel="0" collapsed="false">
      <c r="A762" s="5" t="n">
        <v>761</v>
      </c>
      <c r="B762" s="5" t="s">
        <v>915</v>
      </c>
      <c r="C762" s="5" t="s">
        <v>464</v>
      </c>
      <c r="D762" s="5" t="s">
        <v>36</v>
      </c>
      <c r="E762" s="5" t="s">
        <v>794</v>
      </c>
      <c r="F762" s="5" t="s">
        <v>900</v>
      </c>
      <c r="G762" s="5" t="s">
        <v>39</v>
      </c>
      <c r="H762" s="5" t="s">
        <v>40</v>
      </c>
      <c r="I762" s="5" t="s">
        <v>796</v>
      </c>
      <c r="J762" s="5" t="n">
        <v>4</v>
      </c>
      <c r="K762" s="5"/>
      <c r="L762" s="6"/>
      <c r="M762" s="6"/>
      <c r="N762" s="6"/>
      <c r="O762" s="6"/>
      <c r="P762" s="5" t="str">
        <f aca="false">IF(M762="","",ROUND(M762*IFERROR(INDEX(Weights!$B$2:$B$4,MATCH(G762,Weights!$A$2:$A$4,0)),0)*IFERROR(INDEX(Weights!$B$7:$B$11,MATCH(E762,Weights!$A$7:$A$11,0)),0)*IFERROR(INDEX(Weights!$B$14:$B$17,MATCH(TEXT(J762,"0"),Weights!$A$14:$A$17,0)),0)/(1+N(N762)/50),1))</f>
        <v/>
      </c>
      <c r="Q762" s="5" t="s">
        <v>42</v>
      </c>
    </row>
    <row r="763" customFormat="false" ht="15" hidden="false" customHeight="false" outlineLevel="0" collapsed="false">
      <c r="A763" s="5" t="n">
        <v>762</v>
      </c>
      <c r="B763" s="5" t="s">
        <v>916</v>
      </c>
      <c r="C763" s="5" t="s">
        <v>464</v>
      </c>
      <c r="D763" s="5" t="s">
        <v>36</v>
      </c>
      <c r="E763" s="5" t="s">
        <v>794</v>
      </c>
      <c r="F763" s="5" t="s">
        <v>900</v>
      </c>
      <c r="G763" s="5" t="s">
        <v>39</v>
      </c>
      <c r="H763" s="5" t="s">
        <v>40</v>
      </c>
      <c r="I763" s="5" t="s">
        <v>796</v>
      </c>
      <c r="J763" s="5" t="n">
        <v>4</v>
      </c>
      <c r="K763" s="5"/>
      <c r="L763" s="6"/>
      <c r="M763" s="6"/>
      <c r="N763" s="6"/>
      <c r="O763" s="6"/>
      <c r="P763" s="5" t="str">
        <f aca="false">IF(M763="","",ROUND(M763*IFERROR(INDEX(Weights!$B$2:$B$4,MATCH(G763,Weights!$A$2:$A$4,0)),0)*IFERROR(INDEX(Weights!$B$7:$B$11,MATCH(E763,Weights!$A$7:$A$11,0)),0)*IFERROR(INDEX(Weights!$B$14:$B$17,MATCH(TEXT(J763,"0"),Weights!$A$14:$A$17,0)),0)/(1+N(N763)/50),1))</f>
        <v/>
      </c>
      <c r="Q763" s="5" t="s">
        <v>42</v>
      </c>
    </row>
    <row r="764" customFormat="false" ht="15" hidden="false" customHeight="false" outlineLevel="0" collapsed="false">
      <c r="A764" s="5" t="n">
        <v>763</v>
      </c>
      <c r="B764" s="5" t="s">
        <v>917</v>
      </c>
      <c r="C764" s="5" t="s">
        <v>464</v>
      </c>
      <c r="D764" s="5" t="s">
        <v>36</v>
      </c>
      <c r="E764" s="5" t="s">
        <v>794</v>
      </c>
      <c r="F764" s="5" t="s">
        <v>900</v>
      </c>
      <c r="G764" s="5" t="s">
        <v>39</v>
      </c>
      <c r="H764" s="5" t="s">
        <v>40</v>
      </c>
      <c r="I764" s="5" t="s">
        <v>796</v>
      </c>
      <c r="J764" s="5" t="n">
        <v>4</v>
      </c>
      <c r="K764" s="5"/>
      <c r="L764" s="6"/>
      <c r="M764" s="6"/>
      <c r="N764" s="6"/>
      <c r="O764" s="6"/>
      <c r="P764" s="5" t="str">
        <f aca="false">IF(M764="","",ROUND(M764*IFERROR(INDEX(Weights!$B$2:$B$4,MATCH(G764,Weights!$A$2:$A$4,0)),0)*IFERROR(INDEX(Weights!$B$7:$B$11,MATCH(E764,Weights!$A$7:$A$11,0)),0)*IFERROR(INDEX(Weights!$B$14:$B$17,MATCH(TEXT(J764,"0"),Weights!$A$14:$A$17,0)),0)/(1+N(N764)/50),1))</f>
        <v/>
      </c>
      <c r="Q764" s="5" t="s">
        <v>42</v>
      </c>
    </row>
    <row r="765" customFormat="false" ht="15" hidden="false" customHeight="false" outlineLevel="0" collapsed="false">
      <c r="A765" s="5" t="n">
        <v>764</v>
      </c>
      <c r="B765" s="5" t="s">
        <v>918</v>
      </c>
      <c r="C765" s="5" t="s">
        <v>456</v>
      </c>
      <c r="D765" s="5" t="s">
        <v>36</v>
      </c>
      <c r="E765" s="5" t="s">
        <v>794</v>
      </c>
      <c r="F765" s="5" t="s">
        <v>900</v>
      </c>
      <c r="G765" s="5" t="s">
        <v>39</v>
      </c>
      <c r="H765" s="5" t="s">
        <v>40</v>
      </c>
      <c r="I765" s="5" t="s">
        <v>796</v>
      </c>
      <c r="J765" s="5" t="n">
        <v>4</v>
      </c>
      <c r="K765" s="5"/>
      <c r="L765" s="6"/>
      <c r="M765" s="6"/>
      <c r="N765" s="6"/>
      <c r="O765" s="6"/>
      <c r="P765" s="5" t="str">
        <f aca="false">IF(M765="","",ROUND(M765*IFERROR(INDEX(Weights!$B$2:$B$4,MATCH(G765,Weights!$A$2:$A$4,0)),0)*IFERROR(INDEX(Weights!$B$7:$B$11,MATCH(E765,Weights!$A$7:$A$11,0)),0)*IFERROR(INDEX(Weights!$B$14:$B$17,MATCH(TEXT(J765,"0"),Weights!$A$14:$A$17,0)),0)/(1+N(N765)/50),1))</f>
        <v/>
      </c>
      <c r="Q765" s="5" t="s">
        <v>42</v>
      </c>
    </row>
    <row r="766" customFormat="false" ht="15" hidden="false" customHeight="false" outlineLevel="0" collapsed="false">
      <c r="A766" s="5" t="n">
        <v>765</v>
      </c>
      <c r="B766" s="5" t="s">
        <v>919</v>
      </c>
      <c r="C766" s="5" t="s">
        <v>456</v>
      </c>
      <c r="D766" s="5" t="s">
        <v>36</v>
      </c>
      <c r="E766" s="5" t="s">
        <v>794</v>
      </c>
      <c r="F766" s="5" t="s">
        <v>900</v>
      </c>
      <c r="G766" s="5" t="s">
        <v>39</v>
      </c>
      <c r="H766" s="5" t="s">
        <v>40</v>
      </c>
      <c r="I766" s="5" t="s">
        <v>796</v>
      </c>
      <c r="J766" s="5" t="n">
        <v>4</v>
      </c>
      <c r="K766" s="5"/>
      <c r="L766" s="6"/>
      <c r="M766" s="6"/>
      <c r="N766" s="6"/>
      <c r="O766" s="6"/>
      <c r="P766" s="5" t="str">
        <f aca="false">IF(M766="","",ROUND(M766*IFERROR(INDEX(Weights!$B$2:$B$4,MATCH(G766,Weights!$A$2:$A$4,0)),0)*IFERROR(INDEX(Weights!$B$7:$B$11,MATCH(E766,Weights!$A$7:$A$11,0)),0)*IFERROR(INDEX(Weights!$B$14:$B$17,MATCH(TEXT(J766,"0"),Weights!$A$14:$A$17,0)),0)/(1+N(N766)/50),1))</f>
        <v/>
      </c>
      <c r="Q766" s="5" t="s">
        <v>42</v>
      </c>
    </row>
    <row r="767" customFormat="false" ht="15" hidden="false" customHeight="false" outlineLevel="0" collapsed="false">
      <c r="A767" s="5" t="n">
        <v>766</v>
      </c>
      <c r="B767" s="5" t="s">
        <v>920</v>
      </c>
      <c r="C767" s="5" t="s">
        <v>64</v>
      </c>
      <c r="D767" s="5" t="s">
        <v>36</v>
      </c>
      <c r="E767" s="5" t="s">
        <v>794</v>
      </c>
      <c r="F767" s="5" t="s">
        <v>900</v>
      </c>
      <c r="G767" s="5" t="s">
        <v>39</v>
      </c>
      <c r="H767" s="5" t="s">
        <v>40</v>
      </c>
      <c r="I767" s="5" t="s">
        <v>796</v>
      </c>
      <c r="J767" s="5" t="n">
        <v>4</v>
      </c>
      <c r="K767" s="5"/>
      <c r="L767" s="6"/>
      <c r="M767" s="6"/>
      <c r="N767" s="6"/>
      <c r="O767" s="6"/>
      <c r="P767" s="5" t="str">
        <f aca="false">IF(M767="","",ROUND(M767*IFERROR(INDEX(Weights!$B$2:$B$4,MATCH(G767,Weights!$A$2:$A$4,0)),0)*IFERROR(INDEX(Weights!$B$7:$B$11,MATCH(E767,Weights!$A$7:$A$11,0)),0)*IFERROR(INDEX(Weights!$B$14:$B$17,MATCH(TEXT(J767,"0"),Weights!$A$14:$A$17,0)),0)/(1+N(N767)/50),1))</f>
        <v/>
      </c>
      <c r="Q767" s="5" t="s">
        <v>42</v>
      </c>
    </row>
    <row r="768" customFormat="false" ht="15" hidden="false" customHeight="false" outlineLevel="0" collapsed="false">
      <c r="A768" s="5" t="n">
        <v>767</v>
      </c>
      <c r="B768" s="5" t="s">
        <v>921</v>
      </c>
      <c r="C768" s="5" t="s">
        <v>64</v>
      </c>
      <c r="D768" s="5" t="s">
        <v>36</v>
      </c>
      <c r="E768" s="5" t="s">
        <v>794</v>
      </c>
      <c r="F768" s="5" t="s">
        <v>900</v>
      </c>
      <c r="G768" s="5" t="s">
        <v>39</v>
      </c>
      <c r="H768" s="5" t="s">
        <v>40</v>
      </c>
      <c r="I768" s="5" t="s">
        <v>796</v>
      </c>
      <c r="J768" s="5" t="n">
        <v>4</v>
      </c>
      <c r="K768" s="5"/>
      <c r="L768" s="6"/>
      <c r="M768" s="6"/>
      <c r="N768" s="6"/>
      <c r="O768" s="6"/>
      <c r="P768" s="5" t="str">
        <f aca="false">IF(M768="","",ROUND(M768*IFERROR(INDEX(Weights!$B$2:$B$4,MATCH(G768,Weights!$A$2:$A$4,0)),0)*IFERROR(INDEX(Weights!$B$7:$B$11,MATCH(E768,Weights!$A$7:$A$11,0)),0)*IFERROR(INDEX(Weights!$B$14:$B$17,MATCH(TEXT(J768,"0"),Weights!$A$14:$A$17,0)),0)/(1+N(N768)/50),1))</f>
        <v/>
      </c>
      <c r="Q768" s="5" t="s">
        <v>42</v>
      </c>
    </row>
    <row r="769" customFormat="false" ht="15" hidden="false" customHeight="false" outlineLevel="0" collapsed="false">
      <c r="A769" s="5" t="n">
        <v>768</v>
      </c>
      <c r="B769" s="5" t="s">
        <v>922</v>
      </c>
      <c r="C769" s="5" t="s">
        <v>61</v>
      </c>
      <c r="D769" s="5" t="s">
        <v>36</v>
      </c>
      <c r="E769" s="5" t="s">
        <v>794</v>
      </c>
      <c r="F769" s="5" t="s">
        <v>900</v>
      </c>
      <c r="G769" s="5" t="s">
        <v>39</v>
      </c>
      <c r="H769" s="5" t="s">
        <v>40</v>
      </c>
      <c r="I769" s="5" t="s">
        <v>796</v>
      </c>
      <c r="J769" s="5" t="n">
        <v>4</v>
      </c>
      <c r="K769" s="5"/>
      <c r="L769" s="6"/>
      <c r="M769" s="6"/>
      <c r="N769" s="6"/>
      <c r="O769" s="6"/>
      <c r="P769" s="5" t="str">
        <f aca="false">IF(M769="","",ROUND(M769*IFERROR(INDEX(Weights!$B$2:$B$4,MATCH(G769,Weights!$A$2:$A$4,0)),0)*IFERROR(INDEX(Weights!$B$7:$B$11,MATCH(E769,Weights!$A$7:$A$11,0)),0)*IFERROR(INDEX(Weights!$B$14:$B$17,MATCH(TEXT(J769,"0"),Weights!$A$14:$A$17,0)),0)/(1+N(N769)/50),1))</f>
        <v/>
      </c>
      <c r="Q769" s="5" t="s">
        <v>42</v>
      </c>
    </row>
    <row r="770" customFormat="false" ht="15" hidden="false" customHeight="false" outlineLevel="0" collapsed="false">
      <c r="A770" s="5" t="n">
        <v>769</v>
      </c>
      <c r="B770" s="5" t="s">
        <v>923</v>
      </c>
      <c r="C770" s="5" t="s">
        <v>66</v>
      </c>
      <c r="D770" s="5" t="s">
        <v>36</v>
      </c>
      <c r="E770" s="5" t="s">
        <v>794</v>
      </c>
      <c r="F770" s="5" t="s">
        <v>900</v>
      </c>
      <c r="G770" s="5" t="s">
        <v>39</v>
      </c>
      <c r="H770" s="5" t="s">
        <v>40</v>
      </c>
      <c r="I770" s="5" t="s">
        <v>796</v>
      </c>
      <c r="J770" s="5" t="n">
        <v>4</v>
      </c>
      <c r="K770" s="5"/>
      <c r="L770" s="6"/>
      <c r="M770" s="6"/>
      <c r="N770" s="6"/>
      <c r="O770" s="6"/>
      <c r="P770" s="5" t="str">
        <f aca="false">IF(M770="","",ROUND(M770*IFERROR(INDEX(Weights!$B$2:$B$4,MATCH(G770,Weights!$A$2:$A$4,0)),0)*IFERROR(INDEX(Weights!$B$7:$B$11,MATCH(E770,Weights!$A$7:$A$11,0)),0)*IFERROR(INDEX(Weights!$B$14:$B$17,MATCH(TEXT(J770,"0"),Weights!$A$14:$A$17,0)),0)/(1+N(N770)/50),1))</f>
        <v/>
      </c>
      <c r="Q770" s="5" t="s">
        <v>42</v>
      </c>
    </row>
    <row r="771" customFormat="false" ht="15" hidden="false" customHeight="false" outlineLevel="0" collapsed="false">
      <c r="A771" s="5" t="n">
        <v>770</v>
      </c>
      <c r="B771" s="5" t="s">
        <v>924</v>
      </c>
      <c r="C771" s="5" t="s">
        <v>69</v>
      </c>
      <c r="D771" s="5" t="s">
        <v>36</v>
      </c>
      <c r="E771" s="5" t="s">
        <v>794</v>
      </c>
      <c r="F771" s="5" t="s">
        <v>900</v>
      </c>
      <c r="G771" s="5" t="s">
        <v>39</v>
      </c>
      <c r="H771" s="5" t="s">
        <v>40</v>
      </c>
      <c r="I771" s="5" t="s">
        <v>796</v>
      </c>
      <c r="J771" s="5" t="n">
        <v>4</v>
      </c>
      <c r="K771" s="5"/>
      <c r="L771" s="6"/>
      <c r="M771" s="6"/>
      <c r="N771" s="6"/>
      <c r="O771" s="6"/>
      <c r="P771" s="5" t="str">
        <f aca="false">IF(M771="","",ROUND(M771*IFERROR(INDEX(Weights!$B$2:$B$4,MATCH(G771,Weights!$A$2:$A$4,0)),0)*IFERROR(INDEX(Weights!$B$7:$B$11,MATCH(E771,Weights!$A$7:$A$11,0)),0)*IFERROR(INDEX(Weights!$B$14:$B$17,MATCH(TEXT(J771,"0"),Weights!$A$14:$A$17,0)),0)/(1+N(N771)/50),1))</f>
        <v/>
      </c>
      <c r="Q771" s="5" t="s">
        <v>42</v>
      </c>
    </row>
    <row r="772" customFormat="false" ht="15" hidden="false" customHeight="false" outlineLevel="0" collapsed="false">
      <c r="A772" s="5" t="n">
        <v>771</v>
      </c>
      <c r="B772" s="5" t="s">
        <v>925</v>
      </c>
      <c r="C772" s="5" t="s">
        <v>35</v>
      </c>
      <c r="D772" s="5" t="s">
        <v>36</v>
      </c>
      <c r="E772" s="5" t="s">
        <v>794</v>
      </c>
      <c r="F772" s="5" t="s">
        <v>926</v>
      </c>
      <c r="G772" s="5" t="s">
        <v>39</v>
      </c>
      <c r="H772" s="5" t="s">
        <v>40</v>
      </c>
      <c r="I772" s="5" t="s">
        <v>796</v>
      </c>
      <c r="J772" s="5" t="n">
        <v>4</v>
      </c>
      <c r="K772" s="5"/>
      <c r="L772" s="6"/>
      <c r="M772" s="6"/>
      <c r="N772" s="6"/>
      <c r="O772" s="6"/>
      <c r="P772" s="5" t="str">
        <f aca="false">IF(M772="","",ROUND(M772*IFERROR(INDEX(Weights!$B$2:$B$4,MATCH(G772,Weights!$A$2:$A$4,0)),0)*IFERROR(INDEX(Weights!$B$7:$B$11,MATCH(E772,Weights!$A$7:$A$11,0)),0)*IFERROR(INDEX(Weights!$B$14:$B$17,MATCH(TEXT(J772,"0"),Weights!$A$14:$A$17,0)),0)/(1+N(N772)/50),1))</f>
        <v/>
      </c>
      <c r="Q772" s="5" t="s">
        <v>42</v>
      </c>
    </row>
    <row r="773" customFormat="false" ht="15" hidden="false" customHeight="false" outlineLevel="0" collapsed="false">
      <c r="A773" s="5" t="n">
        <v>772</v>
      </c>
      <c r="B773" s="5" t="s">
        <v>927</v>
      </c>
      <c r="C773" s="5" t="s">
        <v>35</v>
      </c>
      <c r="D773" s="5" t="s">
        <v>36</v>
      </c>
      <c r="E773" s="5" t="s">
        <v>794</v>
      </c>
      <c r="F773" s="5" t="s">
        <v>926</v>
      </c>
      <c r="G773" s="5" t="s">
        <v>39</v>
      </c>
      <c r="H773" s="5" t="s">
        <v>40</v>
      </c>
      <c r="I773" s="5" t="s">
        <v>796</v>
      </c>
      <c r="J773" s="5" t="n">
        <v>4</v>
      </c>
      <c r="K773" s="5"/>
      <c r="L773" s="6"/>
      <c r="M773" s="6"/>
      <c r="N773" s="6"/>
      <c r="O773" s="6"/>
      <c r="P773" s="5" t="str">
        <f aca="false">IF(M773="","",ROUND(M773*IFERROR(INDEX(Weights!$B$2:$B$4,MATCH(G773,Weights!$A$2:$A$4,0)),0)*IFERROR(INDEX(Weights!$B$7:$B$11,MATCH(E773,Weights!$A$7:$A$11,0)),0)*IFERROR(INDEX(Weights!$B$14:$B$17,MATCH(TEXT(J773,"0"),Weights!$A$14:$A$17,0)),0)/(1+N(N773)/50),1))</f>
        <v/>
      </c>
      <c r="Q773" s="5" t="s">
        <v>42</v>
      </c>
    </row>
    <row r="774" customFormat="false" ht="15" hidden="false" customHeight="false" outlineLevel="0" collapsed="false">
      <c r="A774" s="5" t="n">
        <v>773</v>
      </c>
      <c r="B774" s="5" t="s">
        <v>928</v>
      </c>
      <c r="C774" s="5" t="s">
        <v>35</v>
      </c>
      <c r="D774" s="5" t="s">
        <v>36</v>
      </c>
      <c r="E774" s="5" t="s">
        <v>794</v>
      </c>
      <c r="F774" s="5" t="s">
        <v>926</v>
      </c>
      <c r="G774" s="5" t="s">
        <v>39</v>
      </c>
      <c r="H774" s="5" t="s">
        <v>40</v>
      </c>
      <c r="I774" s="5" t="s">
        <v>796</v>
      </c>
      <c r="J774" s="5" t="n">
        <v>4</v>
      </c>
      <c r="K774" s="5"/>
      <c r="L774" s="6"/>
      <c r="M774" s="6"/>
      <c r="N774" s="6"/>
      <c r="O774" s="6"/>
      <c r="P774" s="5" t="str">
        <f aca="false">IF(M774="","",ROUND(M774*IFERROR(INDEX(Weights!$B$2:$B$4,MATCH(G774,Weights!$A$2:$A$4,0)),0)*IFERROR(INDEX(Weights!$B$7:$B$11,MATCH(E774,Weights!$A$7:$A$11,0)),0)*IFERROR(INDEX(Weights!$B$14:$B$17,MATCH(TEXT(J774,"0"),Weights!$A$14:$A$17,0)),0)/(1+N(N774)/50),1))</f>
        <v/>
      </c>
      <c r="Q774" s="5" t="s">
        <v>42</v>
      </c>
    </row>
    <row r="775" customFormat="false" ht="15" hidden="false" customHeight="false" outlineLevel="0" collapsed="false">
      <c r="A775" s="5" t="n">
        <v>774</v>
      </c>
      <c r="B775" s="5" t="s">
        <v>929</v>
      </c>
      <c r="C775" s="5" t="s">
        <v>47</v>
      </c>
      <c r="D775" s="5" t="s">
        <v>36</v>
      </c>
      <c r="E775" s="5" t="s">
        <v>794</v>
      </c>
      <c r="F775" s="5" t="s">
        <v>926</v>
      </c>
      <c r="G775" s="5" t="s">
        <v>39</v>
      </c>
      <c r="H775" s="5" t="s">
        <v>40</v>
      </c>
      <c r="I775" s="5" t="s">
        <v>796</v>
      </c>
      <c r="J775" s="5" t="n">
        <v>4</v>
      </c>
      <c r="K775" s="5"/>
      <c r="L775" s="6"/>
      <c r="M775" s="6"/>
      <c r="N775" s="6"/>
      <c r="O775" s="6"/>
      <c r="P775" s="5" t="str">
        <f aca="false">IF(M775="","",ROUND(M775*IFERROR(INDEX(Weights!$B$2:$B$4,MATCH(G775,Weights!$A$2:$A$4,0)),0)*IFERROR(INDEX(Weights!$B$7:$B$11,MATCH(E775,Weights!$A$7:$A$11,0)),0)*IFERROR(INDEX(Weights!$B$14:$B$17,MATCH(TEXT(J775,"0"),Weights!$A$14:$A$17,0)),0)/(1+N(N775)/50),1))</f>
        <v/>
      </c>
      <c r="Q775" s="5" t="s">
        <v>42</v>
      </c>
    </row>
    <row r="776" customFormat="false" ht="15" hidden="false" customHeight="false" outlineLevel="0" collapsed="false">
      <c r="A776" s="5" t="n">
        <v>775</v>
      </c>
      <c r="B776" s="5" t="s">
        <v>930</v>
      </c>
      <c r="C776" s="5" t="s">
        <v>47</v>
      </c>
      <c r="D776" s="5" t="s">
        <v>36</v>
      </c>
      <c r="E776" s="5" t="s">
        <v>794</v>
      </c>
      <c r="F776" s="5" t="s">
        <v>926</v>
      </c>
      <c r="G776" s="5" t="s">
        <v>39</v>
      </c>
      <c r="H776" s="5" t="s">
        <v>40</v>
      </c>
      <c r="I776" s="5" t="s">
        <v>796</v>
      </c>
      <c r="J776" s="5" t="n">
        <v>4</v>
      </c>
      <c r="K776" s="5"/>
      <c r="L776" s="6"/>
      <c r="M776" s="6"/>
      <c r="N776" s="6"/>
      <c r="O776" s="6"/>
      <c r="P776" s="5" t="str">
        <f aca="false">IF(M776="","",ROUND(M776*IFERROR(INDEX(Weights!$B$2:$B$4,MATCH(G776,Weights!$A$2:$A$4,0)),0)*IFERROR(INDEX(Weights!$B$7:$B$11,MATCH(E776,Weights!$A$7:$A$11,0)),0)*IFERROR(INDEX(Weights!$B$14:$B$17,MATCH(TEXT(J776,"0"),Weights!$A$14:$A$17,0)),0)/(1+N(N776)/50),1))</f>
        <v/>
      </c>
      <c r="Q776" s="5" t="s">
        <v>42</v>
      </c>
    </row>
    <row r="777" customFormat="false" ht="15" hidden="false" customHeight="false" outlineLevel="0" collapsed="false">
      <c r="A777" s="5" t="n">
        <v>776</v>
      </c>
      <c r="B777" s="5" t="s">
        <v>931</v>
      </c>
      <c r="C777" s="5" t="s">
        <v>47</v>
      </c>
      <c r="D777" s="5" t="s">
        <v>36</v>
      </c>
      <c r="E777" s="5" t="s">
        <v>794</v>
      </c>
      <c r="F777" s="5" t="s">
        <v>926</v>
      </c>
      <c r="G777" s="5" t="s">
        <v>39</v>
      </c>
      <c r="H777" s="5" t="s">
        <v>40</v>
      </c>
      <c r="I777" s="5" t="s">
        <v>796</v>
      </c>
      <c r="J777" s="5" t="n">
        <v>4</v>
      </c>
      <c r="K777" s="5"/>
      <c r="L777" s="6"/>
      <c r="M777" s="6"/>
      <c r="N777" s="6"/>
      <c r="O777" s="6"/>
      <c r="P777" s="5" t="str">
        <f aca="false">IF(M777="","",ROUND(M777*IFERROR(INDEX(Weights!$B$2:$B$4,MATCH(G777,Weights!$A$2:$A$4,0)),0)*IFERROR(INDEX(Weights!$B$7:$B$11,MATCH(E777,Weights!$A$7:$A$11,0)),0)*IFERROR(INDEX(Weights!$B$14:$B$17,MATCH(TEXT(J777,"0"),Weights!$A$14:$A$17,0)),0)/(1+N(N777)/50),1))</f>
        <v/>
      </c>
      <c r="Q777" s="5" t="s">
        <v>42</v>
      </c>
    </row>
    <row r="778" customFormat="false" ht="15" hidden="false" customHeight="false" outlineLevel="0" collapsed="false">
      <c r="A778" s="5" t="n">
        <v>777</v>
      </c>
      <c r="B778" s="5" t="s">
        <v>932</v>
      </c>
      <c r="C778" s="5" t="s">
        <v>47</v>
      </c>
      <c r="D778" s="5" t="s">
        <v>36</v>
      </c>
      <c r="E778" s="5" t="s">
        <v>794</v>
      </c>
      <c r="F778" s="5" t="s">
        <v>926</v>
      </c>
      <c r="G778" s="5" t="s">
        <v>39</v>
      </c>
      <c r="H778" s="5" t="s">
        <v>40</v>
      </c>
      <c r="I778" s="5" t="s">
        <v>796</v>
      </c>
      <c r="J778" s="5" t="n">
        <v>4</v>
      </c>
      <c r="K778" s="5"/>
      <c r="L778" s="6"/>
      <c r="M778" s="6"/>
      <c r="N778" s="6"/>
      <c r="O778" s="6"/>
      <c r="P778" s="5" t="str">
        <f aca="false">IF(M778="","",ROUND(M778*IFERROR(INDEX(Weights!$B$2:$B$4,MATCH(G778,Weights!$A$2:$A$4,0)),0)*IFERROR(INDEX(Weights!$B$7:$B$11,MATCH(E778,Weights!$A$7:$A$11,0)),0)*IFERROR(INDEX(Weights!$B$14:$B$17,MATCH(TEXT(J778,"0"),Weights!$A$14:$A$17,0)),0)/(1+N(N778)/50),1))</f>
        <v/>
      </c>
      <c r="Q778" s="5" t="s">
        <v>42</v>
      </c>
    </row>
    <row r="779" customFormat="false" ht="15" hidden="false" customHeight="false" outlineLevel="0" collapsed="false">
      <c r="A779" s="5" t="n">
        <v>778</v>
      </c>
      <c r="B779" s="5" t="s">
        <v>933</v>
      </c>
      <c r="C779" s="5" t="s">
        <v>51</v>
      </c>
      <c r="D779" s="5" t="s">
        <v>36</v>
      </c>
      <c r="E779" s="5" t="s">
        <v>794</v>
      </c>
      <c r="F779" s="5" t="s">
        <v>926</v>
      </c>
      <c r="G779" s="5" t="s">
        <v>39</v>
      </c>
      <c r="H779" s="5" t="s">
        <v>40</v>
      </c>
      <c r="I779" s="5" t="s">
        <v>796</v>
      </c>
      <c r="J779" s="5" t="n">
        <v>4</v>
      </c>
      <c r="K779" s="5"/>
      <c r="L779" s="6"/>
      <c r="M779" s="6"/>
      <c r="N779" s="6"/>
      <c r="O779" s="6"/>
      <c r="P779" s="5" t="str">
        <f aca="false">IF(M779="","",ROUND(M779*IFERROR(INDEX(Weights!$B$2:$B$4,MATCH(G779,Weights!$A$2:$A$4,0)),0)*IFERROR(INDEX(Weights!$B$7:$B$11,MATCH(E779,Weights!$A$7:$A$11,0)),0)*IFERROR(INDEX(Weights!$B$14:$B$17,MATCH(TEXT(J779,"0"),Weights!$A$14:$A$17,0)),0)/(1+N(N779)/50),1))</f>
        <v/>
      </c>
      <c r="Q779" s="5" t="s">
        <v>42</v>
      </c>
    </row>
    <row r="780" customFormat="false" ht="15" hidden="false" customHeight="false" outlineLevel="0" collapsed="false">
      <c r="A780" s="5" t="n">
        <v>779</v>
      </c>
      <c r="B780" s="5" t="s">
        <v>934</v>
      </c>
      <c r="C780" s="5" t="s">
        <v>51</v>
      </c>
      <c r="D780" s="5" t="s">
        <v>36</v>
      </c>
      <c r="E780" s="5" t="s">
        <v>794</v>
      </c>
      <c r="F780" s="5" t="s">
        <v>926</v>
      </c>
      <c r="G780" s="5" t="s">
        <v>39</v>
      </c>
      <c r="H780" s="5" t="s">
        <v>40</v>
      </c>
      <c r="I780" s="5" t="s">
        <v>796</v>
      </c>
      <c r="J780" s="5" t="n">
        <v>4</v>
      </c>
      <c r="K780" s="5"/>
      <c r="L780" s="6"/>
      <c r="M780" s="6"/>
      <c r="N780" s="6"/>
      <c r="O780" s="6"/>
      <c r="P780" s="5" t="str">
        <f aca="false">IF(M780="","",ROUND(M780*IFERROR(INDEX(Weights!$B$2:$B$4,MATCH(G780,Weights!$A$2:$A$4,0)),0)*IFERROR(INDEX(Weights!$B$7:$B$11,MATCH(E780,Weights!$A$7:$A$11,0)),0)*IFERROR(INDEX(Weights!$B$14:$B$17,MATCH(TEXT(J780,"0"),Weights!$A$14:$A$17,0)),0)/(1+N(N780)/50),1))</f>
        <v/>
      </c>
      <c r="Q780" s="5" t="s">
        <v>42</v>
      </c>
    </row>
    <row r="781" customFormat="false" ht="15" hidden="false" customHeight="false" outlineLevel="0" collapsed="false">
      <c r="A781" s="5" t="n">
        <v>780</v>
      </c>
      <c r="B781" s="5" t="s">
        <v>935</v>
      </c>
      <c r="C781" s="5" t="s">
        <v>51</v>
      </c>
      <c r="D781" s="5" t="s">
        <v>36</v>
      </c>
      <c r="E781" s="5" t="s">
        <v>794</v>
      </c>
      <c r="F781" s="5" t="s">
        <v>926</v>
      </c>
      <c r="G781" s="5" t="s">
        <v>39</v>
      </c>
      <c r="H781" s="5" t="s">
        <v>40</v>
      </c>
      <c r="I781" s="5" t="s">
        <v>796</v>
      </c>
      <c r="J781" s="5" t="n">
        <v>4</v>
      </c>
      <c r="K781" s="5"/>
      <c r="L781" s="6"/>
      <c r="M781" s="6"/>
      <c r="N781" s="6"/>
      <c r="O781" s="6"/>
      <c r="P781" s="5" t="str">
        <f aca="false">IF(M781="","",ROUND(M781*IFERROR(INDEX(Weights!$B$2:$B$4,MATCH(G781,Weights!$A$2:$A$4,0)),0)*IFERROR(INDEX(Weights!$B$7:$B$11,MATCH(E781,Weights!$A$7:$A$11,0)),0)*IFERROR(INDEX(Weights!$B$14:$B$17,MATCH(TEXT(J781,"0"),Weights!$A$14:$A$17,0)),0)/(1+N(N781)/50),1))</f>
        <v/>
      </c>
      <c r="Q781" s="5" t="s">
        <v>42</v>
      </c>
    </row>
    <row r="782" customFormat="false" ht="15" hidden="false" customHeight="false" outlineLevel="0" collapsed="false">
      <c r="A782" s="5" t="n">
        <v>781</v>
      </c>
      <c r="B782" s="5" t="s">
        <v>936</v>
      </c>
      <c r="C782" s="5" t="s">
        <v>54</v>
      </c>
      <c r="D782" s="5" t="s">
        <v>36</v>
      </c>
      <c r="E782" s="5" t="s">
        <v>794</v>
      </c>
      <c r="F782" s="5" t="s">
        <v>926</v>
      </c>
      <c r="G782" s="5" t="s">
        <v>39</v>
      </c>
      <c r="H782" s="5" t="s">
        <v>40</v>
      </c>
      <c r="I782" s="5" t="s">
        <v>796</v>
      </c>
      <c r="J782" s="5" t="n">
        <v>4</v>
      </c>
      <c r="K782" s="5"/>
      <c r="L782" s="6"/>
      <c r="M782" s="6"/>
      <c r="N782" s="6"/>
      <c r="O782" s="6"/>
      <c r="P782" s="5" t="str">
        <f aca="false">IF(M782="","",ROUND(M782*IFERROR(INDEX(Weights!$B$2:$B$4,MATCH(G782,Weights!$A$2:$A$4,0)),0)*IFERROR(INDEX(Weights!$B$7:$B$11,MATCH(E782,Weights!$A$7:$A$11,0)),0)*IFERROR(INDEX(Weights!$B$14:$B$17,MATCH(TEXT(J782,"0"),Weights!$A$14:$A$17,0)),0)/(1+N(N782)/50),1))</f>
        <v/>
      </c>
      <c r="Q782" s="5" t="s">
        <v>42</v>
      </c>
    </row>
    <row r="783" customFormat="false" ht="15" hidden="false" customHeight="false" outlineLevel="0" collapsed="false">
      <c r="A783" s="5" t="n">
        <v>782</v>
      </c>
      <c r="B783" s="5" t="s">
        <v>937</v>
      </c>
      <c r="C783" s="5" t="s">
        <v>54</v>
      </c>
      <c r="D783" s="5" t="s">
        <v>36</v>
      </c>
      <c r="E783" s="5" t="s">
        <v>794</v>
      </c>
      <c r="F783" s="5" t="s">
        <v>926</v>
      </c>
      <c r="G783" s="5" t="s">
        <v>39</v>
      </c>
      <c r="H783" s="5" t="s">
        <v>40</v>
      </c>
      <c r="I783" s="5" t="s">
        <v>796</v>
      </c>
      <c r="J783" s="5" t="n">
        <v>4</v>
      </c>
      <c r="K783" s="5"/>
      <c r="L783" s="6"/>
      <c r="M783" s="6"/>
      <c r="N783" s="6"/>
      <c r="O783" s="6"/>
      <c r="P783" s="5" t="str">
        <f aca="false">IF(M783="","",ROUND(M783*IFERROR(INDEX(Weights!$B$2:$B$4,MATCH(G783,Weights!$A$2:$A$4,0)),0)*IFERROR(INDEX(Weights!$B$7:$B$11,MATCH(E783,Weights!$A$7:$A$11,0)),0)*IFERROR(INDEX(Weights!$B$14:$B$17,MATCH(TEXT(J783,"0"),Weights!$A$14:$A$17,0)),0)/(1+N(N783)/50),1))</f>
        <v/>
      </c>
      <c r="Q783" s="5" t="s">
        <v>42</v>
      </c>
    </row>
    <row r="784" customFormat="false" ht="15" hidden="false" customHeight="false" outlineLevel="0" collapsed="false">
      <c r="A784" s="5" t="n">
        <v>783</v>
      </c>
      <c r="B784" s="5" t="s">
        <v>938</v>
      </c>
      <c r="C784" s="5" t="s">
        <v>57</v>
      </c>
      <c r="D784" s="5" t="s">
        <v>36</v>
      </c>
      <c r="E784" s="5" t="s">
        <v>794</v>
      </c>
      <c r="F784" s="5" t="s">
        <v>926</v>
      </c>
      <c r="G784" s="5" t="s">
        <v>39</v>
      </c>
      <c r="H784" s="5" t="s">
        <v>40</v>
      </c>
      <c r="I784" s="5" t="s">
        <v>796</v>
      </c>
      <c r="J784" s="5" t="n">
        <v>4</v>
      </c>
      <c r="K784" s="5"/>
      <c r="L784" s="6"/>
      <c r="M784" s="6"/>
      <c r="N784" s="6"/>
      <c r="O784" s="6"/>
      <c r="P784" s="5" t="str">
        <f aca="false">IF(M784="","",ROUND(M784*IFERROR(INDEX(Weights!$B$2:$B$4,MATCH(G784,Weights!$A$2:$A$4,0)),0)*IFERROR(INDEX(Weights!$B$7:$B$11,MATCH(E784,Weights!$A$7:$A$11,0)),0)*IFERROR(INDEX(Weights!$B$14:$B$17,MATCH(TEXT(J784,"0"),Weights!$A$14:$A$17,0)),0)/(1+N(N784)/50),1))</f>
        <v/>
      </c>
      <c r="Q784" s="5" t="s">
        <v>42</v>
      </c>
    </row>
    <row r="785" customFormat="false" ht="15" hidden="false" customHeight="false" outlineLevel="0" collapsed="false">
      <c r="A785" s="5" t="n">
        <v>784</v>
      </c>
      <c r="B785" s="5" t="s">
        <v>939</v>
      </c>
      <c r="C785" s="5" t="s">
        <v>57</v>
      </c>
      <c r="D785" s="5" t="s">
        <v>36</v>
      </c>
      <c r="E785" s="5" t="s">
        <v>794</v>
      </c>
      <c r="F785" s="5" t="s">
        <v>926</v>
      </c>
      <c r="G785" s="5" t="s">
        <v>39</v>
      </c>
      <c r="H785" s="5" t="s">
        <v>40</v>
      </c>
      <c r="I785" s="5" t="s">
        <v>796</v>
      </c>
      <c r="J785" s="5" t="n">
        <v>4</v>
      </c>
      <c r="K785" s="5"/>
      <c r="L785" s="6"/>
      <c r="M785" s="6"/>
      <c r="N785" s="6"/>
      <c r="O785" s="6"/>
      <c r="P785" s="5" t="str">
        <f aca="false">IF(M785="","",ROUND(M785*IFERROR(INDEX(Weights!$B$2:$B$4,MATCH(G785,Weights!$A$2:$A$4,0)),0)*IFERROR(INDEX(Weights!$B$7:$B$11,MATCH(E785,Weights!$A$7:$A$11,0)),0)*IFERROR(INDEX(Weights!$B$14:$B$17,MATCH(TEXT(J785,"0"),Weights!$A$14:$A$17,0)),0)/(1+N(N785)/50),1))</f>
        <v/>
      </c>
      <c r="Q785" s="5" t="s">
        <v>42</v>
      </c>
    </row>
    <row r="786" customFormat="false" ht="15" hidden="false" customHeight="false" outlineLevel="0" collapsed="false">
      <c r="A786" s="5" t="n">
        <v>785</v>
      </c>
      <c r="B786" s="5" t="s">
        <v>940</v>
      </c>
      <c r="C786" s="5" t="s">
        <v>57</v>
      </c>
      <c r="D786" s="5" t="s">
        <v>36</v>
      </c>
      <c r="E786" s="5" t="s">
        <v>794</v>
      </c>
      <c r="F786" s="5" t="s">
        <v>926</v>
      </c>
      <c r="G786" s="5" t="s">
        <v>39</v>
      </c>
      <c r="H786" s="5" t="s">
        <v>40</v>
      </c>
      <c r="I786" s="5" t="s">
        <v>796</v>
      </c>
      <c r="J786" s="5" t="n">
        <v>4</v>
      </c>
      <c r="K786" s="5"/>
      <c r="L786" s="6"/>
      <c r="M786" s="6"/>
      <c r="N786" s="6"/>
      <c r="O786" s="6"/>
      <c r="P786" s="5" t="str">
        <f aca="false">IF(M786="","",ROUND(M786*IFERROR(INDEX(Weights!$B$2:$B$4,MATCH(G786,Weights!$A$2:$A$4,0)),0)*IFERROR(INDEX(Weights!$B$7:$B$11,MATCH(E786,Weights!$A$7:$A$11,0)),0)*IFERROR(INDEX(Weights!$B$14:$B$17,MATCH(TEXT(J786,"0"),Weights!$A$14:$A$17,0)),0)/(1+N(N786)/50),1))</f>
        <v/>
      </c>
      <c r="Q786" s="5" t="s">
        <v>42</v>
      </c>
    </row>
    <row r="787" customFormat="false" ht="15" hidden="false" customHeight="false" outlineLevel="0" collapsed="false">
      <c r="A787" s="5" t="n">
        <v>786</v>
      </c>
      <c r="B787" s="5" t="s">
        <v>941</v>
      </c>
      <c r="C787" s="5" t="s">
        <v>464</v>
      </c>
      <c r="D787" s="5" t="s">
        <v>36</v>
      </c>
      <c r="E787" s="5" t="s">
        <v>794</v>
      </c>
      <c r="F787" s="5" t="s">
        <v>926</v>
      </c>
      <c r="G787" s="5" t="s">
        <v>39</v>
      </c>
      <c r="H787" s="5" t="s">
        <v>40</v>
      </c>
      <c r="I787" s="5" t="s">
        <v>796</v>
      </c>
      <c r="J787" s="5" t="n">
        <v>4</v>
      </c>
      <c r="K787" s="5"/>
      <c r="L787" s="6"/>
      <c r="M787" s="6"/>
      <c r="N787" s="6"/>
      <c r="O787" s="6"/>
      <c r="P787" s="5" t="str">
        <f aca="false">IF(M787="","",ROUND(M787*IFERROR(INDEX(Weights!$B$2:$B$4,MATCH(G787,Weights!$A$2:$A$4,0)),0)*IFERROR(INDEX(Weights!$B$7:$B$11,MATCH(E787,Weights!$A$7:$A$11,0)),0)*IFERROR(INDEX(Weights!$B$14:$B$17,MATCH(TEXT(J787,"0"),Weights!$A$14:$A$17,0)),0)/(1+N(N787)/50),1))</f>
        <v/>
      </c>
      <c r="Q787" s="5" t="s">
        <v>42</v>
      </c>
    </row>
    <row r="788" customFormat="false" ht="15" hidden="false" customHeight="false" outlineLevel="0" collapsed="false">
      <c r="A788" s="5" t="n">
        <v>787</v>
      </c>
      <c r="B788" s="5" t="s">
        <v>942</v>
      </c>
      <c r="C788" s="5" t="s">
        <v>464</v>
      </c>
      <c r="D788" s="5" t="s">
        <v>36</v>
      </c>
      <c r="E788" s="5" t="s">
        <v>794</v>
      </c>
      <c r="F788" s="5" t="s">
        <v>926</v>
      </c>
      <c r="G788" s="5" t="s">
        <v>39</v>
      </c>
      <c r="H788" s="5" t="s">
        <v>40</v>
      </c>
      <c r="I788" s="5" t="s">
        <v>796</v>
      </c>
      <c r="J788" s="5" t="n">
        <v>4</v>
      </c>
      <c r="K788" s="5"/>
      <c r="L788" s="6"/>
      <c r="M788" s="6"/>
      <c r="N788" s="6"/>
      <c r="O788" s="6"/>
      <c r="P788" s="5" t="str">
        <f aca="false">IF(M788="","",ROUND(M788*IFERROR(INDEX(Weights!$B$2:$B$4,MATCH(G788,Weights!$A$2:$A$4,0)),0)*IFERROR(INDEX(Weights!$B$7:$B$11,MATCH(E788,Weights!$A$7:$A$11,0)),0)*IFERROR(INDEX(Weights!$B$14:$B$17,MATCH(TEXT(J788,"0"),Weights!$A$14:$A$17,0)),0)/(1+N(N788)/50),1))</f>
        <v/>
      </c>
      <c r="Q788" s="5" t="s">
        <v>42</v>
      </c>
    </row>
    <row r="789" customFormat="false" ht="15" hidden="false" customHeight="false" outlineLevel="0" collapsed="false">
      <c r="A789" s="5" t="n">
        <v>788</v>
      </c>
      <c r="B789" s="5" t="s">
        <v>943</v>
      </c>
      <c r="C789" s="5" t="s">
        <v>464</v>
      </c>
      <c r="D789" s="5" t="s">
        <v>36</v>
      </c>
      <c r="E789" s="5" t="s">
        <v>794</v>
      </c>
      <c r="F789" s="5" t="s">
        <v>926</v>
      </c>
      <c r="G789" s="5" t="s">
        <v>39</v>
      </c>
      <c r="H789" s="5" t="s">
        <v>40</v>
      </c>
      <c r="I789" s="5" t="s">
        <v>796</v>
      </c>
      <c r="J789" s="5" t="n">
        <v>4</v>
      </c>
      <c r="K789" s="5"/>
      <c r="L789" s="6"/>
      <c r="M789" s="6"/>
      <c r="N789" s="6"/>
      <c r="O789" s="6"/>
      <c r="P789" s="5" t="str">
        <f aca="false">IF(M789="","",ROUND(M789*IFERROR(INDEX(Weights!$B$2:$B$4,MATCH(G789,Weights!$A$2:$A$4,0)),0)*IFERROR(INDEX(Weights!$B$7:$B$11,MATCH(E789,Weights!$A$7:$A$11,0)),0)*IFERROR(INDEX(Weights!$B$14:$B$17,MATCH(TEXT(J789,"0"),Weights!$A$14:$A$17,0)),0)/(1+N(N789)/50),1))</f>
        <v/>
      </c>
      <c r="Q789" s="5" t="s">
        <v>42</v>
      </c>
    </row>
    <row r="790" customFormat="false" ht="15" hidden="false" customHeight="false" outlineLevel="0" collapsed="false">
      <c r="A790" s="5" t="n">
        <v>789</v>
      </c>
      <c r="B790" s="5" t="s">
        <v>944</v>
      </c>
      <c r="C790" s="5" t="s">
        <v>456</v>
      </c>
      <c r="D790" s="5" t="s">
        <v>36</v>
      </c>
      <c r="E790" s="5" t="s">
        <v>794</v>
      </c>
      <c r="F790" s="5" t="s">
        <v>926</v>
      </c>
      <c r="G790" s="5" t="s">
        <v>39</v>
      </c>
      <c r="H790" s="5" t="s">
        <v>40</v>
      </c>
      <c r="I790" s="5" t="s">
        <v>796</v>
      </c>
      <c r="J790" s="5" t="n">
        <v>4</v>
      </c>
      <c r="K790" s="5"/>
      <c r="L790" s="6"/>
      <c r="M790" s="6"/>
      <c r="N790" s="6"/>
      <c r="O790" s="6"/>
      <c r="P790" s="5" t="str">
        <f aca="false">IF(M790="","",ROUND(M790*IFERROR(INDEX(Weights!$B$2:$B$4,MATCH(G790,Weights!$A$2:$A$4,0)),0)*IFERROR(INDEX(Weights!$B$7:$B$11,MATCH(E790,Weights!$A$7:$A$11,0)),0)*IFERROR(INDEX(Weights!$B$14:$B$17,MATCH(TEXT(J790,"0"),Weights!$A$14:$A$17,0)),0)/(1+N(N790)/50),1))</f>
        <v/>
      </c>
      <c r="Q790" s="5" t="s">
        <v>42</v>
      </c>
    </row>
    <row r="791" customFormat="false" ht="15" hidden="false" customHeight="false" outlineLevel="0" collapsed="false">
      <c r="A791" s="5" t="n">
        <v>790</v>
      </c>
      <c r="B791" s="5" t="s">
        <v>945</v>
      </c>
      <c r="C791" s="5" t="s">
        <v>456</v>
      </c>
      <c r="D791" s="5" t="s">
        <v>36</v>
      </c>
      <c r="E791" s="5" t="s">
        <v>794</v>
      </c>
      <c r="F791" s="5" t="s">
        <v>926</v>
      </c>
      <c r="G791" s="5" t="s">
        <v>39</v>
      </c>
      <c r="H791" s="5" t="s">
        <v>40</v>
      </c>
      <c r="I791" s="5" t="s">
        <v>796</v>
      </c>
      <c r="J791" s="5" t="n">
        <v>4</v>
      </c>
      <c r="K791" s="5"/>
      <c r="L791" s="6"/>
      <c r="M791" s="6"/>
      <c r="N791" s="6"/>
      <c r="O791" s="6"/>
      <c r="P791" s="5" t="str">
        <f aca="false">IF(M791="","",ROUND(M791*IFERROR(INDEX(Weights!$B$2:$B$4,MATCH(G791,Weights!$A$2:$A$4,0)),0)*IFERROR(INDEX(Weights!$B$7:$B$11,MATCH(E791,Weights!$A$7:$A$11,0)),0)*IFERROR(INDEX(Weights!$B$14:$B$17,MATCH(TEXT(J791,"0"),Weights!$A$14:$A$17,0)),0)/(1+N(N791)/50),1))</f>
        <v/>
      </c>
      <c r="Q791" s="5" t="s">
        <v>42</v>
      </c>
    </row>
    <row r="792" customFormat="false" ht="15" hidden="false" customHeight="false" outlineLevel="0" collapsed="false">
      <c r="A792" s="5" t="n">
        <v>791</v>
      </c>
      <c r="B792" s="5" t="s">
        <v>946</v>
      </c>
      <c r="C792" s="5" t="s">
        <v>64</v>
      </c>
      <c r="D792" s="5" t="s">
        <v>36</v>
      </c>
      <c r="E792" s="5" t="s">
        <v>794</v>
      </c>
      <c r="F792" s="5" t="s">
        <v>926</v>
      </c>
      <c r="G792" s="5" t="s">
        <v>39</v>
      </c>
      <c r="H792" s="5" t="s">
        <v>40</v>
      </c>
      <c r="I792" s="5" t="s">
        <v>796</v>
      </c>
      <c r="J792" s="5" t="n">
        <v>4</v>
      </c>
      <c r="K792" s="5"/>
      <c r="L792" s="6"/>
      <c r="M792" s="6"/>
      <c r="N792" s="6"/>
      <c r="O792" s="6"/>
      <c r="P792" s="5" t="str">
        <f aca="false">IF(M792="","",ROUND(M792*IFERROR(INDEX(Weights!$B$2:$B$4,MATCH(G792,Weights!$A$2:$A$4,0)),0)*IFERROR(INDEX(Weights!$B$7:$B$11,MATCH(E792,Weights!$A$7:$A$11,0)),0)*IFERROR(INDEX(Weights!$B$14:$B$17,MATCH(TEXT(J792,"0"),Weights!$A$14:$A$17,0)),0)/(1+N(N792)/50),1))</f>
        <v/>
      </c>
      <c r="Q792" s="5" t="s">
        <v>42</v>
      </c>
    </row>
    <row r="793" customFormat="false" ht="15" hidden="false" customHeight="false" outlineLevel="0" collapsed="false">
      <c r="A793" s="5" t="n">
        <v>792</v>
      </c>
      <c r="B793" s="5" t="s">
        <v>947</v>
      </c>
      <c r="C793" s="5" t="s">
        <v>64</v>
      </c>
      <c r="D793" s="5" t="s">
        <v>36</v>
      </c>
      <c r="E793" s="5" t="s">
        <v>794</v>
      </c>
      <c r="F793" s="5" t="s">
        <v>926</v>
      </c>
      <c r="G793" s="5" t="s">
        <v>39</v>
      </c>
      <c r="H793" s="5" t="s">
        <v>40</v>
      </c>
      <c r="I793" s="5" t="s">
        <v>796</v>
      </c>
      <c r="J793" s="5" t="n">
        <v>4</v>
      </c>
      <c r="K793" s="5"/>
      <c r="L793" s="6"/>
      <c r="M793" s="6"/>
      <c r="N793" s="6"/>
      <c r="O793" s="6"/>
      <c r="P793" s="5" t="str">
        <f aca="false">IF(M793="","",ROUND(M793*IFERROR(INDEX(Weights!$B$2:$B$4,MATCH(G793,Weights!$A$2:$A$4,0)),0)*IFERROR(INDEX(Weights!$B$7:$B$11,MATCH(E793,Weights!$A$7:$A$11,0)),0)*IFERROR(INDEX(Weights!$B$14:$B$17,MATCH(TEXT(J793,"0"),Weights!$A$14:$A$17,0)),0)/(1+N(N793)/50),1))</f>
        <v/>
      </c>
      <c r="Q793" s="5" t="s">
        <v>42</v>
      </c>
    </row>
    <row r="794" customFormat="false" ht="15" hidden="false" customHeight="false" outlineLevel="0" collapsed="false">
      <c r="A794" s="5" t="n">
        <v>793</v>
      </c>
      <c r="B794" s="5" t="s">
        <v>948</v>
      </c>
      <c r="C794" s="5" t="s">
        <v>61</v>
      </c>
      <c r="D794" s="5" t="s">
        <v>36</v>
      </c>
      <c r="E794" s="5" t="s">
        <v>794</v>
      </c>
      <c r="F794" s="5" t="s">
        <v>926</v>
      </c>
      <c r="G794" s="5" t="s">
        <v>39</v>
      </c>
      <c r="H794" s="5" t="s">
        <v>40</v>
      </c>
      <c r="I794" s="5" t="s">
        <v>796</v>
      </c>
      <c r="J794" s="5" t="n">
        <v>4</v>
      </c>
      <c r="K794" s="5"/>
      <c r="L794" s="6"/>
      <c r="M794" s="6"/>
      <c r="N794" s="6"/>
      <c r="O794" s="6"/>
      <c r="P794" s="5" t="str">
        <f aca="false">IF(M794="","",ROUND(M794*IFERROR(INDEX(Weights!$B$2:$B$4,MATCH(G794,Weights!$A$2:$A$4,0)),0)*IFERROR(INDEX(Weights!$B$7:$B$11,MATCH(E794,Weights!$A$7:$A$11,0)),0)*IFERROR(INDEX(Weights!$B$14:$B$17,MATCH(TEXT(J794,"0"),Weights!$A$14:$A$17,0)),0)/(1+N(N794)/50),1))</f>
        <v/>
      </c>
      <c r="Q794" s="5" t="s">
        <v>42</v>
      </c>
    </row>
    <row r="795" customFormat="false" ht="15" hidden="false" customHeight="false" outlineLevel="0" collapsed="false">
      <c r="A795" s="5" t="n">
        <v>794</v>
      </c>
      <c r="B795" s="5" t="s">
        <v>949</v>
      </c>
      <c r="C795" s="5" t="s">
        <v>66</v>
      </c>
      <c r="D795" s="5" t="s">
        <v>36</v>
      </c>
      <c r="E795" s="5" t="s">
        <v>794</v>
      </c>
      <c r="F795" s="5" t="s">
        <v>926</v>
      </c>
      <c r="G795" s="5" t="s">
        <v>39</v>
      </c>
      <c r="H795" s="5" t="s">
        <v>40</v>
      </c>
      <c r="I795" s="5" t="s">
        <v>796</v>
      </c>
      <c r="J795" s="5" t="n">
        <v>4</v>
      </c>
      <c r="K795" s="5"/>
      <c r="L795" s="6"/>
      <c r="M795" s="6"/>
      <c r="N795" s="6"/>
      <c r="O795" s="6"/>
      <c r="P795" s="5" t="str">
        <f aca="false">IF(M795="","",ROUND(M795*IFERROR(INDEX(Weights!$B$2:$B$4,MATCH(G795,Weights!$A$2:$A$4,0)),0)*IFERROR(INDEX(Weights!$B$7:$B$11,MATCH(E795,Weights!$A$7:$A$11,0)),0)*IFERROR(INDEX(Weights!$B$14:$B$17,MATCH(TEXT(J795,"0"),Weights!$A$14:$A$17,0)),0)/(1+N(N795)/50),1))</f>
        <v/>
      </c>
      <c r="Q795" s="5" t="s">
        <v>42</v>
      </c>
    </row>
    <row r="796" customFormat="false" ht="15" hidden="false" customHeight="false" outlineLevel="0" collapsed="false">
      <c r="A796" s="5" t="n">
        <v>795</v>
      </c>
      <c r="B796" s="5" t="s">
        <v>950</v>
      </c>
      <c r="C796" s="5" t="s">
        <v>69</v>
      </c>
      <c r="D796" s="5" t="s">
        <v>36</v>
      </c>
      <c r="E796" s="5" t="s">
        <v>794</v>
      </c>
      <c r="F796" s="5" t="s">
        <v>926</v>
      </c>
      <c r="G796" s="5" t="s">
        <v>39</v>
      </c>
      <c r="H796" s="5" t="s">
        <v>40</v>
      </c>
      <c r="I796" s="5" t="s">
        <v>796</v>
      </c>
      <c r="J796" s="5" t="n">
        <v>4</v>
      </c>
      <c r="K796" s="5"/>
      <c r="L796" s="6"/>
      <c r="M796" s="6"/>
      <c r="N796" s="6"/>
      <c r="O796" s="6"/>
      <c r="P796" s="5" t="str">
        <f aca="false">IF(M796="","",ROUND(M796*IFERROR(INDEX(Weights!$B$2:$B$4,MATCH(G796,Weights!$A$2:$A$4,0)),0)*IFERROR(INDEX(Weights!$B$7:$B$11,MATCH(E796,Weights!$A$7:$A$11,0)),0)*IFERROR(INDEX(Weights!$B$14:$B$17,MATCH(TEXT(J796,"0"),Weights!$A$14:$A$17,0)),0)/(1+N(N796)/50),1))</f>
        <v/>
      </c>
      <c r="Q796" s="5" t="s">
        <v>42</v>
      </c>
    </row>
    <row r="797" customFormat="false" ht="15" hidden="false" customHeight="false" outlineLevel="0" collapsed="false">
      <c r="A797" s="5" t="n">
        <v>796</v>
      </c>
      <c r="B797" s="5" t="s">
        <v>951</v>
      </c>
      <c r="C797" s="5" t="s">
        <v>35</v>
      </c>
      <c r="D797" s="5" t="s">
        <v>36</v>
      </c>
      <c r="E797" s="5" t="s">
        <v>794</v>
      </c>
      <c r="F797" s="5" t="s">
        <v>952</v>
      </c>
      <c r="G797" s="5" t="s">
        <v>39</v>
      </c>
      <c r="H797" s="5" t="s">
        <v>40</v>
      </c>
      <c r="I797" s="5" t="s">
        <v>796</v>
      </c>
      <c r="J797" s="5" t="n">
        <v>4</v>
      </c>
      <c r="K797" s="5"/>
      <c r="L797" s="6"/>
      <c r="M797" s="6"/>
      <c r="N797" s="6"/>
      <c r="O797" s="6"/>
      <c r="P797" s="5" t="str">
        <f aca="false">IF(M797="","",ROUND(M797*IFERROR(INDEX(Weights!$B$2:$B$4,MATCH(G797,Weights!$A$2:$A$4,0)),0)*IFERROR(INDEX(Weights!$B$7:$B$11,MATCH(E797,Weights!$A$7:$A$11,0)),0)*IFERROR(INDEX(Weights!$B$14:$B$17,MATCH(TEXT(J797,"0"),Weights!$A$14:$A$17,0)),0)/(1+N(N797)/50),1))</f>
        <v/>
      </c>
      <c r="Q797" s="5" t="s">
        <v>42</v>
      </c>
    </row>
    <row r="798" customFormat="false" ht="15" hidden="false" customHeight="false" outlineLevel="0" collapsed="false">
      <c r="A798" s="5" t="n">
        <v>797</v>
      </c>
      <c r="B798" s="5" t="s">
        <v>953</v>
      </c>
      <c r="C798" s="5" t="s">
        <v>35</v>
      </c>
      <c r="D798" s="5" t="s">
        <v>36</v>
      </c>
      <c r="E798" s="5" t="s">
        <v>794</v>
      </c>
      <c r="F798" s="5" t="s">
        <v>952</v>
      </c>
      <c r="G798" s="5" t="s">
        <v>39</v>
      </c>
      <c r="H798" s="5" t="s">
        <v>40</v>
      </c>
      <c r="I798" s="5" t="s">
        <v>796</v>
      </c>
      <c r="J798" s="5" t="n">
        <v>4</v>
      </c>
      <c r="K798" s="5"/>
      <c r="L798" s="6"/>
      <c r="M798" s="6"/>
      <c r="N798" s="6"/>
      <c r="O798" s="6"/>
      <c r="P798" s="5" t="str">
        <f aca="false">IF(M798="","",ROUND(M798*IFERROR(INDEX(Weights!$B$2:$B$4,MATCH(G798,Weights!$A$2:$A$4,0)),0)*IFERROR(INDEX(Weights!$B$7:$B$11,MATCH(E798,Weights!$A$7:$A$11,0)),0)*IFERROR(INDEX(Weights!$B$14:$B$17,MATCH(TEXT(J798,"0"),Weights!$A$14:$A$17,0)),0)/(1+N(N798)/50),1))</f>
        <v/>
      </c>
      <c r="Q798" s="5" t="s">
        <v>42</v>
      </c>
    </row>
    <row r="799" customFormat="false" ht="15" hidden="false" customHeight="false" outlineLevel="0" collapsed="false">
      <c r="A799" s="5" t="n">
        <v>798</v>
      </c>
      <c r="B799" s="5" t="s">
        <v>954</v>
      </c>
      <c r="C799" s="5" t="s">
        <v>35</v>
      </c>
      <c r="D799" s="5" t="s">
        <v>36</v>
      </c>
      <c r="E799" s="5" t="s">
        <v>794</v>
      </c>
      <c r="F799" s="5" t="s">
        <v>952</v>
      </c>
      <c r="G799" s="5" t="s">
        <v>39</v>
      </c>
      <c r="H799" s="5" t="s">
        <v>40</v>
      </c>
      <c r="I799" s="5" t="s">
        <v>796</v>
      </c>
      <c r="J799" s="5" t="n">
        <v>4</v>
      </c>
      <c r="K799" s="5"/>
      <c r="L799" s="6"/>
      <c r="M799" s="6"/>
      <c r="N799" s="6"/>
      <c r="O799" s="6"/>
      <c r="P799" s="5" t="str">
        <f aca="false">IF(M799="","",ROUND(M799*IFERROR(INDEX(Weights!$B$2:$B$4,MATCH(G799,Weights!$A$2:$A$4,0)),0)*IFERROR(INDEX(Weights!$B$7:$B$11,MATCH(E799,Weights!$A$7:$A$11,0)),0)*IFERROR(INDEX(Weights!$B$14:$B$17,MATCH(TEXT(J799,"0"),Weights!$A$14:$A$17,0)),0)/(1+N(N799)/50),1))</f>
        <v/>
      </c>
      <c r="Q799" s="5" t="s">
        <v>42</v>
      </c>
    </row>
    <row r="800" customFormat="false" ht="15" hidden="false" customHeight="false" outlineLevel="0" collapsed="false">
      <c r="A800" s="5" t="n">
        <v>799</v>
      </c>
      <c r="B800" s="5" t="s">
        <v>955</v>
      </c>
      <c r="C800" s="5" t="s">
        <v>47</v>
      </c>
      <c r="D800" s="5" t="s">
        <v>36</v>
      </c>
      <c r="E800" s="5" t="s">
        <v>794</v>
      </c>
      <c r="F800" s="5" t="s">
        <v>952</v>
      </c>
      <c r="G800" s="5" t="s">
        <v>39</v>
      </c>
      <c r="H800" s="5" t="s">
        <v>40</v>
      </c>
      <c r="I800" s="5" t="s">
        <v>796</v>
      </c>
      <c r="J800" s="5" t="n">
        <v>4</v>
      </c>
      <c r="K800" s="5"/>
      <c r="L800" s="6"/>
      <c r="M800" s="6"/>
      <c r="N800" s="6"/>
      <c r="O800" s="6"/>
      <c r="P800" s="5" t="str">
        <f aca="false">IF(M800="","",ROUND(M800*IFERROR(INDEX(Weights!$B$2:$B$4,MATCH(G800,Weights!$A$2:$A$4,0)),0)*IFERROR(INDEX(Weights!$B$7:$B$11,MATCH(E800,Weights!$A$7:$A$11,0)),0)*IFERROR(INDEX(Weights!$B$14:$B$17,MATCH(TEXT(J800,"0"),Weights!$A$14:$A$17,0)),0)/(1+N(N800)/50),1))</f>
        <v/>
      </c>
      <c r="Q800" s="5" t="s">
        <v>42</v>
      </c>
    </row>
    <row r="801" customFormat="false" ht="15" hidden="false" customHeight="false" outlineLevel="0" collapsed="false">
      <c r="A801" s="5" t="n">
        <v>800</v>
      </c>
      <c r="B801" s="5" t="s">
        <v>956</v>
      </c>
      <c r="C801" s="5" t="s">
        <v>47</v>
      </c>
      <c r="D801" s="5" t="s">
        <v>36</v>
      </c>
      <c r="E801" s="5" t="s">
        <v>794</v>
      </c>
      <c r="F801" s="5" t="s">
        <v>952</v>
      </c>
      <c r="G801" s="5" t="s">
        <v>39</v>
      </c>
      <c r="H801" s="5" t="s">
        <v>40</v>
      </c>
      <c r="I801" s="5" t="s">
        <v>796</v>
      </c>
      <c r="J801" s="5" t="n">
        <v>4</v>
      </c>
      <c r="K801" s="5"/>
      <c r="L801" s="6"/>
      <c r="M801" s="6"/>
      <c r="N801" s="6"/>
      <c r="O801" s="6"/>
      <c r="P801" s="5" t="str">
        <f aca="false">IF(M801="","",ROUND(M801*IFERROR(INDEX(Weights!$B$2:$B$4,MATCH(G801,Weights!$A$2:$A$4,0)),0)*IFERROR(INDEX(Weights!$B$7:$B$11,MATCH(E801,Weights!$A$7:$A$11,0)),0)*IFERROR(INDEX(Weights!$B$14:$B$17,MATCH(TEXT(J801,"0"),Weights!$A$14:$A$17,0)),0)/(1+N(N801)/50),1))</f>
        <v/>
      </c>
      <c r="Q801" s="5" t="s">
        <v>42</v>
      </c>
    </row>
    <row r="802" customFormat="false" ht="15" hidden="false" customHeight="false" outlineLevel="0" collapsed="false">
      <c r="A802" s="5" t="n">
        <v>801</v>
      </c>
      <c r="B802" s="5" t="s">
        <v>957</v>
      </c>
      <c r="C802" s="5" t="s">
        <v>47</v>
      </c>
      <c r="D802" s="5" t="s">
        <v>36</v>
      </c>
      <c r="E802" s="5" t="s">
        <v>794</v>
      </c>
      <c r="F802" s="5" t="s">
        <v>952</v>
      </c>
      <c r="G802" s="5" t="s">
        <v>39</v>
      </c>
      <c r="H802" s="5" t="s">
        <v>40</v>
      </c>
      <c r="I802" s="5" t="s">
        <v>796</v>
      </c>
      <c r="J802" s="5" t="n">
        <v>4</v>
      </c>
      <c r="K802" s="5"/>
      <c r="L802" s="6"/>
      <c r="M802" s="6"/>
      <c r="N802" s="6"/>
      <c r="O802" s="6"/>
      <c r="P802" s="5" t="str">
        <f aca="false">IF(M802="","",ROUND(M802*IFERROR(INDEX(Weights!$B$2:$B$4,MATCH(G802,Weights!$A$2:$A$4,0)),0)*IFERROR(INDEX(Weights!$B$7:$B$11,MATCH(E802,Weights!$A$7:$A$11,0)),0)*IFERROR(INDEX(Weights!$B$14:$B$17,MATCH(TEXT(J802,"0"),Weights!$A$14:$A$17,0)),0)/(1+N(N802)/50),1))</f>
        <v/>
      </c>
      <c r="Q802" s="5" t="s">
        <v>42</v>
      </c>
    </row>
    <row r="803" customFormat="false" ht="15" hidden="false" customHeight="false" outlineLevel="0" collapsed="false">
      <c r="A803" s="5" t="n">
        <v>802</v>
      </c>
      <c r="B803" s="5" t="s">
        <v>958</v>
      </c>
      <c r="C803" s="5" t="s">
        <v>47</v>
      </c>
      <c r="D803" s="5" t="s">
        <v>36</v>
      </c>
      <c r="E803" s="5" t="s">
        <v>794</v>
      </c>
      <c r="F803" s="5" t="s">
        <v>952</v>
      </c>
      <c r="G803" s="5" t="s">
        <v>39</v>
      </c>
      <c r="H803" s="5" t="s">
        <v>40</v>
      </c>
      <c r="I803" s="5" t="s">
        <v>796</v>
      </c>
      <c r="J803" s="5" t="n">
        <v>4</v>
      </c>
      <c r="K803" s="5"/>
      <c r="L803" s="6"/>
      <c r="M803" s="6"/>
      <c r="N803" s="6"/>
      <c r="O803" s="6"/>
      <c r="P803" s="5" t="str">
        <f aca="false">IF(M803="","",ROUND(M803*IFERROR(INDEX(Weights!$B$2:$B$4,MATCH(G803,Weights!$A$2:$A$4,0)),0)*IFERROR(INDEX(Weights!$B$7:$B$11,MATCH(E803,Weights!$A$7:$A$11,0)),0)*IFERROR(INDEX(Weights!$B$14:$B$17,MATCH(TEXT(J803,"0"),Weights!$A$14:$A$17,0)),0)/(1+N(N803)/50),1))</f>
        <v/>
      </c>
      <c r="Q803" s="5" t="s">
        <v>42</v>
      </c>
    </row>
    <row r="804" customFormat="false" ht="15" hidden="false" customHeight="false" outlineLevel="0" collapsed="false">
      <c r="A804" s="5" t="n">
        <v>803</v>
      </c>
      <c r="B804" s="5" t="s">
        <v>959</v>
      </c>
      <c r="C804" s="5" t="s">
        <v>51</v>
      </c>
      <c r="D804" s="5" t="s">
        <v>36</v>
      </c>
      <c r="E804" s="5" t="s">
        <v>794</v>
      </c>
      <c r="F804" s="5" t="s">
        <v>952</v>
      </c>
      <c r="G804" s="5" t="s">
        <v>39</v>
      </c>
      <c r="H804" s="5" t="s">
        <v>40</v>
      </c>
      <c r="I804" s="5" t="s">
        <v>796</v>
      </c>
      <c r="J804" s="5" t="n">
        <v>4</v>
      </c>
      <c r="K804" s="5"/>
      <c r="L804" s="6"/>
      <c r="M804" s="6"/>
      <c r="N804" s="6"/>
      <c r="O804" s="6"/>
      <c r="P804" s="5" t="str">
        <f aca="false">IF(M804="","",ROUND(M804*IFERROR(INDEX(Weights!$B$2:$B$4,MATCH(G804,Weights!$A$2:$A$4,0)),0)*IFERROR(INDEX(Weights!$B$7:$B$11,MATCH(E804,Weights!$A$7:$A$11,0)),0)*IFERROR(INDEX(Weights!$B$14:$B$17,MATCH(TEXT(J804,"0"),Weights!$A$14:$A$17,0)),0)/(1+N(N804)/50),1))</f>
        <v/>
      </c>
      <c r="Q804" s="5" t="s">
        <v>42</v>
      </c>
    </row>
    <row r="805" customFormat="false" ht="15" hidden="false" customHeight="false" outlineLevel="0" collapsed="false">
      <c r="A805" s="5" t="n">
        <v>804</v>
      </c>
      <c r="B805" s="5" t="s">
        <v>960</v>
      </c>
      <c r="C805" s="5" t="s">
        <v>51</v>
      </c>
      <c r="D805" s="5" t="s">
        <v>36</v>
      </c>
      <c r="E805" s="5" t="s">
        <v>794</v>
      </c>
      <c r="F805" s="5" t="s">
        <v>952</v>
      </c>
      <c r="G805" s="5" t="s">
        <v>39</v>
      </c>
      <c r="H805" s="5" t="s">
        <v>40</v>
      </c>
      <c r="I805" s="5" t="s">
        <v>796</v>
      </c>
      <c r="J805" s="5" t="n">
        <v>4</v>
      </c>
      <c r="K805" s="5"/>
      <c r="L805" s="6"/>
      <c r="M805" s="6"/>
      <c r="N805" s="6"/>
      <c r="O805" s="6"/>
      <c r="P805" s="5" t="str">
        <f aca="false">IF(M805="","",ROUND(M805*IFERROR(INDEX(Weights!$B$2:$B$4,MATCH(G805,Weights!$A$2:$A$4,0)),0)*IFERROR(INDEX(Weights!$B$7:$B$11,MATCH(E805,Weights!$A$7:$A$11,0)),0)*IFERROR(INDEX(Weights!$B$14:$B$17,MATCH(TEXT(J805,"0"),Weights!$A$14:$A$17,0)),0)/(1+N(N805)/50),1))</f>
        <v/>
      </c>
      <c r="Q805" s="5" t="s">
        <v>42</v>
      </c>
    </row>
    <row r="806" customFormat="false" ht="15" hidden="false" customHeight="false" outlineLevel="0" collapsed="false">
      <c r="A806" s="5" t="n">
        <v>805</v>
      </c>
      <c r="B806" s="5" t="s">
        <v>961</v>
      </c>
      <c r="C806" s="5" t="s">
        <v>51</v>
      </c>
      <c r="D806" s="5" t="s">
        <v>36</v>
      </c>
      <c r="E806" s="5" t="s">
        <v>794</v>
      </c>
      <c r="F806" s="5" t="s">
        <v>952</v>
      </c>
      <c r="G806" s="5" t="s">
        <v>39</v>
      </c>
      <c r="H806" s="5" t="s">
        <v>40</v>
      </c>
      <c r="I806" s="5" t="s">
        <v>796</v>
      </c>
      <c r="J806" s="5" t="n">
        <v>4</v>
      </c>
      <c r="K806" s="5"/>
      <c r="L806" s="6"/>
      <c r="M806" s="6"/>
      <c r="N806" s="6"/>
      <c r="O806" s="6"/>
      <c r="P806" s="5" t="str">
        <f aca="false">IF(M806="","",ROUND(M806*IFERROR(INDEX(Weights!$B$2:$B$4,MATCH(G806,Weights!$A$2:$A$4,0)),0)*IFERROR(INDEX(Weights!$B$7:$B$11,MATCH(E806,Weights!$A$7:$A$11,0)),0)*IFERROR(INDEX(Weights!$B$14:$B$17,MATCH(TEXT(J806,"0"),Weights!$A$14:$A$17,0)),0)/(1+N(N806)/50),1))</f>
        <v/>
      </c>
      <c r="Q806" s="5" t="s">
        <v>42</v>
      </c>
    </row>
    <row r="807" customFormat="false" ht="15" hidden="false" customHeight="false" outlineLevel="0" collapsed="false">
      <c r="A807" s="5" t="n">
        <v>806</v>
      </c>
      <c r="B807" s="5" t="s">
        <v>962</v>
      </c>
      <c r="C807" s="5" t="s">
        <v>54</v>
      </c>
      <c r="D807" s="5" t="s">
        <v>36</v>
      </c>
      <c r="E807" s="5" t="s">
        <v>794</v>
      </c>
      <c r="F807" s="5" t="s">
        <v>952</v>
      </c>
      <c r="G807" s="5" t="s">
        <v>39</v>
      </c>
      <c r="H807" s="5" t="s">
        <v>40</v>
      </c>
      <c r="I807" s="5" t="s">
        <v>796</v>
      </c>
      <c r="J807" s="5" t="n">
        <v>4</v>
      </c>
      <c r="K807" s="5"/>
      <c r="L807" s="6"/>
      <c r="M807" s="6"/>
      <c r="N807" s="6"/>
      <c r="O807" s="6"/>
      <c r="P807" s="5" t="str">
        <f aca="false">IF(M807="","",ROUND(M807*IFERROR(INDEX(Weights!$B$2:$B$4,MATCH(G807,Weights!$A$2:$A$4,0)),0)*IFERROR(INDEX(Weights!$B$7:$B$11,MATCH(E807,Weights!$A$7:$A$11,0)),0)*IFERROR(INDEX(Weights!$B$14:$B$17,MATCH(TEXT(J807,"0"),Weights!$A$14:$A$17,0)),0)/(1+N(N807)/50),1))</f>
        <v/>
      </c>
      <c r="Q807" s="5" t="s">
        <v>42</v>
      </c>
    </row>
    <row r="808" customFormat="false" ht="15" hidden="false" customHeight="false" outlineLevel="0" collapsed="false">
      <c r="A808" s="5" t="n">
        <v>807</v>
      </c>
      <c r="B808" s="5" t="s">
        <v>963</v>
      </c>
      <c r="C808" s="5" t="s">
        <v>54</v>
      </c>
      <c r="D808" s="5" t="s">
        <v>36</v>
      </c>
      <c r="E808" s="5" t="s">
        <v>794</v>
      </c>
      <c r="F808" s="5" t="s">
        <v>952</v>
      </c>
      <c r="G808" s="5" t="s">
        <v>39</v>
      </c>
      <c r="H808" s="5" t="s">
        <v>40</v>
      </c>
      <c r="I808" s="5" t="s">
        <v>796</v>
      </c>
      <c r="J808" s="5" t="n">
        <v>4</v>
      </c>
      <c r="K808" s="5"/>
      <c r="L808" s="6"/>
      <c r="M808" s="6"/>
      <c r="N808" s="6"/>
      <c r="O808" s="6"/>
      <c r="P808" s="5" t="str">
        <f aca="false">IF(M808="","",ROUND(M808*IFERROR(INDEX(Weights!$B$2:$B$4,MATCH(G808,Weights!$A$2:$A$4,0)),0)*IFERROR(INDEX(Weights!$B$7:$B$11,MATCH(E808,Weights!$A$7:$A$11,0)),0)*IFERROR(INDEX(Weights!$B$14:$B$17,MATCH(TEXT(J808,"0"),Weights!$A$14:$A$17,0)),0)/(1+N(N808)/50),1))</f>
        <v/>
      </c>
      <c r="Q808" s="5" t="s">
        <v>42</v>
      </c>
    </row>
    <row r="809" customFormat="false" ht="15" hidden="false" customHeight="false" outlineLevel="0" collapsed="false">
      <c r="A809" s="5" t="n">
        <v>808</v>
      </c>
      <c r="B809" s="5" t="s">
        <v>964</v>
      </c>
      <c r="C809" s="5" t="s">
        <v>57</v>
      </c>
      <c r="D809" s="5" t="s">
        <v>36</v>
      </c>
      <c r="E809" s="5" t="s">
        <v>794</v>
      </c>
      <c r="F809" s="5" t="s">
        <v>952</v>
      </c>
      <c r="G809" s="5" t="s">
        <v>39</v>
      </c>
      <c r="H809" s="5" t="s">
        <v>40</v>
      </c>
      <c r="I809" s="5" t="s">
        <v>796</v>
      </c>
      <c r="J809" s="5" t="n">
        <v>4</v>
      </c>
      <c r="K809" s="5"/>
      <c r="L809" s="6"/>
      <c r="M809" s="6"/>
      <c r="N809" s="6"/>
      <c r="O809" s="6"/>
      <c r="P809" s="5" t="str">
        <f aca="false">IF(M809="","",ROUND(M809*IFERROR(INDEX(Weights!$B$2:$B$4,MATCH(G809,Weights!$A$2:$A$4,0)),0)*IFERROR(INDEX(Weights!$B$7:$B$11,MATCH(E809,Weights!$A$7:$A$11,0)),0)*IFERROR(INDEX(Weights!$B$14:$B$17,MATCH(TEXT(J809,"0"),Weights!$A$14:$A$17,0)),0)/(1+N(N809)/50),1))</f>
        <v/>
      </c>
      <c r="Q809" s="5" t="s">
        <v>42</v>
      </c>
    </row>
    <row r="810" customFormat="false" ht="15" hidden="false" customHeight="false" outlineLevel="0" collapsed="false">
      <c r="A810" s="5" t="n">
        <v>809</v>
      </c>
      <c r="B810" s="5" t="s">
        <v>965</v>
      </c>
      <c r="C810" s="5" t="s">
        <v>57</v>
      </c>
      <c r="D810" s="5" t="s">
        <v>36</v>
      </c>
      <c r="E810" s="5" t="s">
        <v>794</v>
      </c>
      <c r="F810" s="5" t="s">
        <v>952</v>
      </c>
      <c r="G810" s="5" t="s">
        <v>39</v>
      </c>
      <c r="H810" s="5" t="s">
        <v>40</v>
      </c>
      <c r="I810" s="5" t="s">
        <v>796</v>
      </c>
      <c r="J810" s="5" t="n">
        <v>4</v>
      </c>
      <c r="K810" s="5"/>
      <c r="L810" s="6"/>
      <c r="M810" s="6"/>
      <c r="N810" s="6"/>
      <c r="O810" s="6"/>
      <c r="P810" s="5" t="str">
        <f aca="false">IF(M810="","",ROUND(M810*IFERROR(INDEX(Weights!$B$2:$B$4,MATCH(G810,Weights!$A$2:$A$4,0)),0)*IFERROR(INDEX(Weights!$B$7:$B$11,MATCH(E810,Weights!$A$7:$A$11,0)),0)*IFERROR(INDEX(Weights!$B$14:$B$17,MATCH(TEXT(J810,"0"),Weights!$A$14:$A$17,0)),0)/(1+N(N810)/50),1))</f>
        <v/>
      </c>
      <c r="Q810" s="5" t="s">
        <v>42</v>
      </c>
    </row>
    <row r="811" customFormat="false" ht="15" hidden="false" customHeight="false" outlineLevel="0" collapsed="false">
      <c r="A811" s="5" t="n">
        <v>810</v>
      </c>
      <c r="B811" s="5" t="s">
        <v>966</v>
      </c>
      <c r="C811" s="5" t="s">
        <v>57</v>
      </c>
      <c r="D811" s="5" t="s">
        <v>36</v>
      </c>
      <c r="E811" s="5" t="s">
        <v>794</v>
      </c>
      <c r="F811" s="5" t="s">
        <v>952</v>
      </c>
      <c r="G811" s="5" t="s">
        <v>39</v>
      </c>
      <c r="H811" s="5" t="s">
        <v>40</v>
      </c>
      <c r="I811" s="5" t="s">
        <v>796</v>
      </c>
      <c r="J811" s="5" t="n">
        <v>4</v>
      </c>
      <c r="K811" s="5"/>
      <c r="L811" s="6"/>
      <c r="M811" s="6"/>
      <c r="N811" s="6"/>
      <c r="O811" s="6"/>
      <c r="P811" s="5" t="str">
        <f aca="false">IF(M811="","",ROUND(M811*IFERROR(INDEX(Weights!$B$2:$B$4,MATCH(G811,Weights!$A$2:$A$4,0)),0)*IFERROR(INDEX(Weights!$B$7:$B$11,MATCH(E811,Weights!$A$7:$A$11,0)),0)*IFERROR(INDEX(Weights!$B$14:$B$17,MATCH(TEXT(J811,"0"),Weights!$A$14:$A$17,0)),0)/(1+N(N811)/50),1))</f>
        <v/>
      </c>
      <c r="Q811" s="5" t="s">
        <v>42</v>
      </c>
    </row>
    <row r="812" customFormat="false" ht="15" hidden="false" customHeight="false" outlineLevel="0" collapsed="false">
      <c r="A812" s="5" t="n">
        <v>811</v>
      </c>
      <c r="B812" s="5" t="s">
        <v>967</v>
      </c>
      <c r="C812" s="5" t="s">
        <v>464</v>
      </c>
      <c r="D812" s="5" t="s">
        <v>36</v>
      </c>
      <c r="E812" s="5" t="s">
        <v>794</v>
      </c>
      <c r="F812" s="5" t="s">
        <v>952</v>
      </c>
      <c r="G812" s="5" t="s">
        <v>39</v>
      </c>
      <c r="H812" s="5" t="s">
        <v>40</v>
      </c>
      <c r="I812" s="5" t="s">
        <v>796</v>
      </c>
      <c r="J812" s="5" t="n">
        <v>4</v>
      </c>
      <c r="K812" s="5"/>
      <c r="L812" s="6"/>
      <c r="M812" s="6"/>
      <c r="N812" s="6"/>
      <c r="O812" s="6"/>
      <c r="P812" s="5" t="str">
        <f aca="false">IF(M812="","",ROUND(M812*IFERROR(INDEX(Weights!$B$2:$B$4,MATCH(G812,Weights!$A$2:$A$4,0)),0)*IFERROR(INDEX(Weights!$B$7:$B$11,MATCH(E812,Weights!$A$7:$A$11,0)),0)*IFERROR(INDEX(Weights!$B$14:$B$17,MATCH(TEXT(J812,"0"),Weights!$A$14:$A$17,0)),0)/(1+N(N812)/50),1))</f>
        <v/>
      </c>
      <c r="Q812" s="5" t="s">
        <v>42</v>
      </c>
    </row>
    <row r="813" customFormat="false" ht="15" hidden="false" customHeight="false" outlineLevel="0" collapsed="false">
      <c r="A813" s="5" t="n">
        <v>812</v>
      </c>
      <c r="B813" s="5" t="s">
        <v>968</v>
      </c>
      <c r="C813" s="5" t="s">
        <v>464</v>
      </c>
      <c r="D813" s="5" t="s">
        <v>36</v>
      </c>
      <c r="E813" s="5" t="s">
        <v>794</v>
      </c>
      <c r="F813" s="5" t="s">
        <v>952</v>
      </c>
      <c r="G813" s="5" t="s">
        <v>39</v>
      </c>
      <c r="H813" s="5" t="s">
        <v>40</v>
      </c>
      <c r="I813" s="5" t="s">
        <v>796</v>
      </c>
      <c r="J813" s="5" t="n">
        <v>4</v>
      </c>
      <c r="K813" s="5"/>
      <c r="L813" s="6"/>
      <c r="M813" s="6"/>
      <c r="N813" s="6"/>
      <c r="O813" s="6"/>
      <c r="P813" s="5" t="str">
        <f aca="false">IF(M813="","",ROUND(M813*IFERROR(INDEX(Weights!$B$2:$B$4,MATCH(G813,Weights!$A$2:$A$4,0)),0)*IFERROR(INDEX(Weights!$B$7:$B$11,MATCH(E813,Weights!$A$7:$A$11,0)),0)*IFERROR(INDEX(Weights!$B$14:$B$17,MATCH(TEXT(J813,"0"),Weights!$A$14:$A$17,0)),0)/(1+N(N813)/50),1))</f>
        <v/>
      </c>
      <c r="Q813" s="5" t="s">
        <v>42</v>
      </c>
    </row>
    <row r="814" customFormat="false" ht="15" hidden="false" customHeight="false" outlineLevel="0" collapsed="false">
      <c r="A814" s="5" t="n">
        <v>813</v>
      </c>
      <c r="B814" s="5" t="s">
        <v>969</v>
      </c>
      <c r="C814" s="5" t="s">
        <v>464</v>
      </c>
      <c r="D814" s="5" t="s">
        <v>36</v>
      </c>
      <c r="E814" s="5" t="s">
        <v>794</v>
      </c>
      <c r="F814" s="5" t="s">
        <v>952</v>
      </c>
      <c r="G814" s="5" t="s">
        <v>39</v>
      </c>
      <c r="H814" s="5" t="s">
        <v>40</v>
      </c>
      <c r="I814" s="5" t="s">
        <v>796</v>
      </c>
      <c r="J814" s="5" t="n">
        <v>4</v>
      </c>
      <c r="K814" s="5"/>
      <c r="L814" s="6"/>
      <c r="M814" s="6"/>
      <c r="N814" s="6"/>
      <c r="O814" s="6"/>
      <c r="P814" s="5" t="str">
        <f aca="false">IF(M814="","",ROUND(M814*IFERROR(INDEX(Weights!$B$2:$B$4,MATCH(G814,Weights!$A$2:$A$4,0)),0)*IFERROR(INDEX(Weights!$B$7:$B$11,MATCH(E814,Weights!$A$7:$A$11,0)),0)*IFERROR(INDEX(Weights!$B$14:$B$17,MATCH(TEXT(J814,"0"),Weights!$A$14:$A$17,0)),0)/(1+N(N814)/50),1))</f>
        <v/>
      </c>
      <c r="Q814" s="5" t="s">
        <v>42</v>
      </c>
    </row>
    <row r="815" customFormat="false" ht="15" hidden="false" customHeight="false" outlineLevel="0" collapsed="false">
      <c r="A815" s="5" t="n">
        <v>814</v>
      </c>
      <c r="B815" s="5" t="s">
        <v>970</v>
      </c>
      <c r="C815" s="5" t="s">
        <v>456</v>
      </c>
      <c r="D815" s="5" t="s">
        <v>36</v>
      </c>
      <c r="E815" s="5" t="s">
        <v>794</v>
      </c>
      <c r="F815" s="5" t="s">
        <v>952</v>
      </c>
      <c r="G815" s="5" t="s">
        <v>39</v>
      </c>
      <c r="H815" s="5" t="s">
        <v>40</v>
      </c>
      <c r="I815" s="5" t="s">
        <v>796</v>
      </c>
      <c r="J815" s="5" t="n">
        <v>4</v>
      </c>
      <c r="K815" s="5"/>
      <c r="L815" s="6"/>
      <c r="M815" s="6"/>
      <c r="N815" s="6"/>
      <c r="O815" s="6"/>
      <c r="P815" s="5" t="str">
        <f aca="false">IF(M815="","",ROUND(M815*IFERROR(INDEX(Weights!$B$2:$B$4,MATCH(G815,Weights!$A$2:$A$4,0)),0)*IFERROR(INDEX(Weights!$B$7:$B$11,MATCH(E815,Weights!$A$7:$A$11,0)),0)*IFERROR(INDEX(Weights!$B$14:$B$17,MATCH(TEXT(J815,"0"),Weights!$A$14:$A$17,0)),0)/(1+N(N815)/50),1))</f>
        <v/>
      </c>
      <c r="Q815" s="5" t="s">
        <v>42</v>
      </c>
    </row>
    <row r="816" customFormat="false" ht="15" hidden="false" customHeight="false" outlineLevel="0" collapsed="false">
      <c r="A816" s="5" t="n">
        <v>815</v>
      </c>
      <c r="B816" s="5" t="s">
        <v>971</v>
      </c>
      <c r="C816" s="5" t="s">
        <v>456</v>
      </c>
      <c r="D816" s="5" t="s">
        <v>36</v>
      </c>
      <c r="E816" s="5" t="s">
        <v>794</v>
      </c>
      <c r="F816" s="5" t="s">
        <v>952</v>
      </c>
      <c r="G816" s="5" t="s">
        <v>39</v>
      </c>
      <c r="H816" s="5" t="s">
        <v>40</v>
      </c>
      <c r="I816" s="5" t="s">
        <v>796</v>
      </c>
      <c r="J816" s="5" t="n">
        <v>4</v>
      </c>
      <c r="K816" s="5"/>
      <c r="L816" s="6"/>
      <c r="M816" s="6"/>
      <c r="N816" s="6"/>
      <c r="O816" s="6"/>
      <c r="P816" s="5" t="str">
        <f aca="false">IF(M816="","",ROUND(M816*IFERROR(INDEX(Weights!$B$2:$B$4,MATCH(G816,Weights!$A$2:$A$4,0)),0)*IFERROR(INDEX(Weights!$B$7:$B$11,MATCH(E816,Weights!$A$7:$A$11,0)),0)*IFERROR(INDEX(Weights!$B$14:$B$17,MATCH(TEXT(J816,"0"),Weights!$A$14:$A$17,0)),0)/(1+N(N816)/50),1))</f>
        <v/>
      </c>
      <c r="Q816" s="5" t="s">
        <v>42</v>
      </c>
    </row>
    <row r="817" customFormat="false" ht="15" hidden="false" customHeight="false" outlineLevel="0" collapsed="false">
      <c r="A817" s="5" t="n">
        <v>816</v>
      </c>
      <c r="B817" s="5" t="s">
        <v>972</v>
      </c>
      <c r="C817" s="5" t="s">
        <v>64</v>
      </c>
      <c r="D817" s="5" t="s">
        <v>36</v>
      </c>
      <c r="E817" s="5" t="s">
        <v>794</v>
      </c>
      <c r="F817" s="5" t="s">
        <v>952</v>
      </c>
      <c r="G817" s="5" t="s">
        <v>39</v>
      </c>
      <c r="H817" s="5" t="s">
        <v>40</v>
      </c>
      <c r="I817" s="5" t="s">
        <v>796</v>
      </c>
      <c r="J817" s="5" t="n">
        <v>4</v>
      </c>
      <c r="K817" s="5"/>
      <c r="L817" s="6"/>
      <c r="M817" s="6"/>
      <c r="N817" s="6"/>
      <c r="O817" s="6"/>
      <c r="P817" s="5" t="str">
        <f aca="false">IF(M817="","",ROUND(M817*IFERROR(INDEX(Weights!$B$2:$B$4,MATCH(G817,Weights!$A$2:$A$4,0)),0)*IFERROR(INDEX(Weights!$B$7:$B$11,MATCH(E817,Weights!$A$7:$A$11,0)),0)*IFERROR(INDEX(Weights!$B$14:$B$17,MATCH(TEXT(J817,"0"),Weights!$A$14:$A$17,0)),0)/(1+N(N817)/50),1))</f>
        <v/>
      </c>
      <c r="Q817" s="5" t="s">
        <v>42</v>
      </c>
    </row>
    <row r="818" customFormat="false" ht="15" hidden="false" customHeight="false" outlineLevel="0" collapsed="false">
      <c r="A818" s="5" t="n">
        <v>817</v>
      </c>
      <c r="B818" s="5" t="s">
        <v>973</v>
      </c>
      <c r="C818" s="5" t="s">
        <v>64</v>
      </c>
      <c r="D818" s="5" t="s">
        <v>36</v>
      </c>
      <c r="E818" s="5" t="s">
        <v>794</v>
      </c>
      <c r="F818" s="5" t="s">
        <v>952</v>
      </c>
      <c r="G818" s="5" t="s">
        <v>39</v>
      </c>
      <c r="H818" s="5" t="s">
        <v>40</v>
      </c>
      <c r="I818" s="5" t="s">
        <v>796</v>
      </c>
      <c r="J818" s="5" t="n">
        <v>4</v>
      </c>
      <c r="K818" s="5"/>
      <c r="L818" s="6"/>
      <c r="M818" s="6"/>
      <c r="N818" s="6"/>
      <c r="O818" s="6"/>
      <c r="P818" s="5" t="str">
        <f aca="false">IF(M818="","",ROUND(M818*IFERROR(INDEX(Weights!$B$2:$B$4,MATCH(G818,Weights!$A$2:$A$4,0)),0)*IFERROR(INDEX(Weights!$B$7:$B$11,MATCH(E818,Weights!$A$7:$A$11,0)),0)*IFERROR(INDEX(Weights!$B$14:$B$17,MATCH(TEXT(J818,"0"),Weights!$A$14:$A$17,0)),0)/(1+N(N818)/50),1))</f>
        <v/>
      </c>
      <c r="Q818" s="5" t="s">
        <v>42</v>
      </c>
    </row>
    <row r="819" customFormat="false" ht="15" hidden="false" customHeight="false" outlineLevel="0" collapsed="false">
      <c r="A819" s="5" t="n">
        <v>818</v>
      </c>
      <c r="B819" s="5" t="s">
        <v>974</v>
      </c>
      <c r="C819" s="5" t="s">
        <v>61</v>
      </c>
      <c r="D819" s="5" t="s">
        <v>36</v>
      </c>
      <c r="E819" s="5" t="s">
        <v>794</v>
      </c>
      <c r="F819" s="5" t="s">
        <v>952</v>
      </c>
      <c r="G819" s="5" t="s">
        <v>39</v>
      </c>
      <c r="H819" s="5" t="s">
        <v>40</v>
      </c>
      <c r="I819" s="5" t="s">
        <v>796</v>
      </c>
      <c r="J819" s="5" t="n">
        <v>4</v>
      </c>
      <c r="K819" s="5"/>
      <c r="L819" s="6"/>
      <c r="M819" s="6"/>
      <c r="N819" s="6"/>
      <c r="O819" s="6"/>
      <c r="P819" s="5" t="str">
        <f aca="false">IF(M819="","",ROUND(M819*IFERROR(INDEX(Weights!$B$2:$B$4,MATCH(G819,Weights!$A$2:$A$4,0)),0)*IFERROR(INDEX(Weights!$B$7:$B$11,MATCH(E819,Weights!$A$7:$A$11,0)),0)*IFERROR(INDEX(Weights!$B$14:$B$17,MATCH(TEXT(J819,"0"),Weights!$A$14:$A$17,0)),0)/(1+N(N819)/50),1))</f>
        <v/>
      </c>
      <c r="Q819" s="5" t="s">
        <v>42</v>
      </c>
    </row>
    <row r="820" customFormat="false" ht="15" hidden="false" customHeight="false" outlineLevel="0" collapsed="false">
      <c r="A820" s="5" t="n">
        <v>819</v>
      </c>
      <c r="B820" s="5" t="s">
        <v>975</v>
      </c>
      <c r="C820" s="5" t="s">
        <v>66</v>
      </c>
      <c r="D820" s="5" t="s">
        <v>36</v>
      </c>
      <c r="E820" s="5" t="s">
        <v>794</v>
      </c>
      <c r="F820" s="5" t="s">
        <v>952</v>
      </c>
      <c r="G820" s="5" t="s">
        <v>39</v>
      </c>
      <c r="H820" s="5" t="s">
        <v>40</v>
      </c>
      <c r="I820" s="5" t="s">
        <v>796</v>
      </c>
      <c r="J820" s="5" t="n">
        <v>4</v>
      </c>
      <c r="K820" s="5"/>
      <c r="L820" s="6"/>
      <c r="M820" s="6"/>
      <c r="N820" s="6"/>
      <c r="O820" s="6"/>
      <c r="P820" s="5" t="str">
        <f aca="false">IF(M820="","",ROUND(M820*IFERROR(INDEX(Weights!$B$2:$B$4,MATCH(G820,Weights!$A$2:$A$4,0)),0)*IFERROR(INDEX(Weights!$B$7:$B$11,MATCH(E820,Weights!$A$7:$A$11,0)),0)*IFERROR(INDEX(Weights!$B$14:$B$17,MATCH(TEXT(J820,"0"),Weights!$A$14:$A$17,0)),0)/(1+N(N820)/50),1))</f>
        <v/>
      </c>
      <c r="Q820" s="5" t="s">
        <v>42</v>
      </c>
    </row>
    <row r="821" customFormat="false" ht="15" hidden="false" customHeight="false" outlineLevel="0" collapsed="false">
      <c r="A821" s="5" t="n">
        <v>820</v>
      </c>
      <c r="B821" s="5" t="s">
        <v>976</v>
      </c>
      <c r="C821" s="5" t="s">
        <v>69</v>
      </c>
      <c r="D821" s="5" t="s">
        <v>36</v>
      </c>
      <c r="E821" s="5" t="s">
        <v>794</v>
      </c>
      <c r="F821" s="5" t="s">
        <v>952</v>
      </c>
      <c r="G821" s="5" t="s">
        <v>39</v>
      </c>
      <c r="H821" s="5" t="s">
        <v>40</v>
      </c>
      <c r="I821" s="5" t="s">
        <v>796</v>
      </c>
      <c r="J821" s="5" t="n">
        <v>4</v>
      </c>
      <c r="K821" s="5"/>
      <c r="L821" s="6"/>
      <c r="M821" s="6"/>
      <c r="N821" s="6"/>
      <c r="O821" s="6"/>
      <c r="P821" s="5" t="str">
        <f aca="false">IF(M821="","",ROUND(M821*IFERROR(INDEX(Weights!$B$2:$B$4,MATCH(G821,Weights!$A$2:$A$4,0)),0)*IFERROR(INDEX(Weights!$B$7:$B$11,MATCH(E821,Weights!$A$7:$A$11,0)),0)*IFERROR(INDEX(Weights!$B$14:$B$17,MATCH(TEXT(J821,"0"),Weights!$A$14:$A$17,0)),0)/(1+N(N821)/50),1))</f>
        <v/>
      </c>
      <c r="Q821" s="5" t="s">
        <v>42</v>
      </c>
    </row>
    <row r="822" customFormat="false" ht="15" hidden="false" customHeight="false" outlineLevel="0" collapsed="false">
      <c r="A822" s="5" t="n">
        <v>821</v>
      </c>
      <c r="B822" s="5" t="s">
        <v>977</v>
      </c>
      <c r="C822" s="5" t="s">
        <v>35</v>
      </c>
      <c r="D822" s="5" t="s">
        <v>36</v>
      </c>
      <c r="E822" s="5" t="s">
        <v>794</v>
      </c>
      <c r="F822" s="5" t="s">
        <v>978</v>
      </c>
      <c r="G822" s="5" t="s">
        <v>39</v>
      </c>
      <c r="H822" s="5" t="s">
        <v>40</v>
      </c>
      <c r="I822" s="5" t="s">
        <v>796</v>
      </c>
      <c r="J822" s="5" t="n">
        <v>4</v>
      </c>
      <c r="K822" s="5"/>
      <c r="L822" s="6"/>
      <c r="M822" s="6"/>
      <c r="N822" s="6"/>
      <c r="O822" s="6"/>
      <c r="P822" s="5" t="str">
        <f aca="false">IF(M822="","",ROUND(M822*IFERROR(INDEX(Weights!$B$2:$B$4,MATCH(G822,Weights!$A$2:$A$4,0)),0)*IFERROR(INDEX(Weights!$B$7:$B$11,MATCH(E822,Weights!$A$7:$A$11,0)),0)*IFERROR(INDEX(Weights!$B$14:$B$17,MATCH(TEXT(J822,"0"),Weights!$A$14:$A$17,0)),0)/(1+N(N822)/50),1))</f>
        <v/>
      </c>
      <c r="Q822" s="5" t="s">
        <v>42</v>
      </c>
    </row>
    <row r="823" customFormat="false" ht="15" hidden="false" customHeight="false" outlineLevel="0" collapsed="false">
      <c r="A823" s="5" t="n">
        <v>822</v>
      </c>
      <c r="B823" s="5" t="s">
        <v>979</v>
      </c>
      <c r="C823" s="5" t="s">
        <v>35</v>
      </c>
      <c r="D823" s="5" t="s">
        <v>36</v>
      </c>
      <c r="E823" s="5" t="s">
        <v>794</v>
      </c>
      <c r="F823" s="5" t="s">
        <v>978</v>
      </c>
      <c r="G823" s="5" t="s">
        <v>39</v>
      </c>
      <c r="H823" s="5" t="s">
        <v>40</v>
      </c>
      <c r="I823" s="5" t="s">
        <v>796</v>
      </c>
      <c r="J823" s="5" t="n">
        <v>4</v>
      </c>
      <c r="K823" s="5"/>
      <c r="L823" s="6"/>
      <c r="M823" s="6"/>
      <c r="N823" s="6"/>
      <c r="O823" s="6"/>
      <c r="P823" s="5" t="str">
        <f aca="false">IF(M823="","",ROUND(M823*IFERROR(INDEX(Weights!$B$2:$B$4,MATCH(G823,Weights!$A$2:$A$4,0)),0)*IFERROR(INDEX(Weights!$B$7:$B$11,MATCH(E823,Weights!$A$7:$A$11,0)),0)*IFERROR(INDEX(Weights!$B$14:$B$17,MATCH(TEXT(J823,"0"),Weights!$A$14:$A$17,0)),0)/(1+N(N823)/50),1))</f>
        <v/>
      </c>
      <c r="Q823" s="5" t="s">
        <v>42</v>
      </c>
    </row>
    <row r="824" customFormat="false" ht="15" hidden="false" customHeight="false" outlineLevel="0" collapsed="false">
      <c r="A824" s="5" t="n">
        <v>823</v>
      </c>
      <c r="B824" s="5" t="s">
        <v>980</v>
      </c>
      <c r="C824" s="5" t="s">
        <v>35</v>
      </c>
      <c r="D824" s="5" t="s">
        <v>36</v>
      </c>
      <c r="E824" s="5" t="s">
        <v>794</v>
      </c>
      <c r="F824" s="5" t="s">
        <v>978</v>
      </c>
      <c r="G824" s="5" t="s">
        <v>39</v>
      </c>
      <c r="H824" s="5" t="s">
        <v>40</v>
      </c>
      <c r="I824" s="5" t="s">
        <v>796</v>
      </c>
      <c r="J824" s="5" t="n">
        <v>4</v>
      </c>
      <c r="K824" s="5"/>
      <c r="L824" s="6"/>
      <c r="M824" s="6"/>
      <c r="N824" s="6"/>
      <c r="O824" s="6"/>
      <c r="P824" s="5" t="str">
        <f aca="false">IF(M824="","",ROUND(M824*IFERROR(INDEX(Weights!$B$2:$B$4,MATCH(G824,Weights!$A$2:$A$4,0)),0)*IFERROR(INDEX(Weights!$B$7:$B$11,MATCH(E824,Weights!$A$7:$A$11,0)),0)*IFERROR(INDEX(Weights!$B$14:$B$17,MATCH(TEXT(J824,"0"),Weights!$A$14:$A$17,0)),0)/(1+N(N824)/50),1))</f>
        <v/>
      </c>
      <c r="Q824" s="5" t="s">
        <v>42</v>
      </c>
    </row>
    <row r="825" customFormat="false" ht="15" hidden="false" customHeight="false" outlineLevel="0" collapsed="false">
      <c r="A825" s="5" t="n">
        <v>824</v>
      </c>
      <c r="B825" s="5" t="s">
        <v>981</v>
      </c>
      <c r="C825" s="5" t="s">
        <v>47</v>
      </c>
      <c r="D825" s="5" t="s">
        <v>36</v>
      </c>
      <c r="E825" s="5" t="s">
        <v>794</v>
      </c>
      <c r="F825" s="5" t="s">
        <v>978</v>
      </c>
      <c r="G825" s="5" t="s">
        <v>39</v>
      </c>
      <c r="H825" s="5" t="s">
        <v>40</v>
      </c>
      <c r="I825" s="5" t="s">
        <v>796</v>
      </c>
      <c r="J825" s="5" t="n">
        <v>4</v>
      </c>
      <c r="K825" s="5"/>
      <c r="L825" s="6"/>
      <c r="M825" s="6"/>
      <c r="N825" s="6"/>
      <c r="O825" s="6"/>
      <c r="P825" s="5" t="str">
        <f aca="false">IF(M825="","",ROUND(M825*IFERROR(INDEX(Weights!$B$2:$B$4,MATCH(G825,Weights!$A$2:$A$4,0)),0)*IFERROR(INDEX(Weights!$B$7:$B$11,MATCH(E825,Weights!$A$7:$A$11,0)),0)*IFERROR(INDEX(Weights!$B$14:$B$17,MATCH(TEXT(J825,"0"),Weights!$A$14:$A$17,0)),0)/(1+N(N825)/50),1))</f>
        <v/>
      </c>
      <c r="Q825" s="5" t="s">
        <v>42</v>
      </c>
    </row>
    <row r="826" customFormat="false" ht="15" hidden="false" customHeight="false" outlineLevel="0" collapsed="false">
      <c r="A826" s="5" t="n">
        <v>825</v>
      </c>
      <c r="B826" s="5" t="s">
        <v>982</v>
      </c>
      <c r="C826" s="5" t="s">
        <v>47</v>
      </c>
      <c r="D826" s="5" t="s">
        <v>36</v>
      </c>
      <c r="E826" s="5" t="s">
        <v>794</v>
      </c>
      <c r="F826" s="5" t="s">
        <v>978</v>
      </c>
      <c r="G826" s="5" t="s">
        <v>39</v>
      </c>
      <c r="H826" s="5" t="s">
        <v>40</v>
      </c>
      <c r="I826" s="5" t="s">
        <v>796</v>
      </c>
      <c r="J826" s="5" t="n">
        <v>4</v>
      </c>
      <c r="K826" s="5"/>
      <c r="L826" s="6"/>
      <c r="M826" s="6"/>
      <c r="N826" s="6"/>
      <c r="O826" s="6"/>
      <c r="P826" s="5" t="str">
        <f aca="false">IF(M826="","",ROUND(M826*IFERROR(INDEX(Weights!$B$2:$B$4,MATCH(G826,Weights!$A$2:$A$4,0)),0)*IFERROR(INDEX(Weights!$B$7:$B$11,MATCH(E826,Weights!$A$7:$A$11,0)),0)*IFERROR(INDEX(Weights!$B$14:$B$17,MATCH(TEXT(J826,"0"),Weights!$A$14:$A$17,0)),0)/(1+N(N826)/50),1))</f>
        <v/>
      </c>
      <c r="Q826" s="5" t="s">
        <v>42</v>
      </c>
    </row>
    <row r="827" customFormat="false" ht="15" hidden="false" customHeight="false" outlineLevel="0" collapsed="false">
      <c r="A827" s="5" t="n">
        <v>826</v>
      </c>
      <c r="B827" s="5" t="s">
        <v>983</v>
      </c>
      <c r="C827" s="5" t="s">
        <v>47</v>
      </c>
      <c r="D827" s="5" t="s">
        <v>36</v>
      </c>
      <c r="E827" s="5" t="s">
        <v>794</v>
      </c>
      <c r="F827" s="5" t="s">
        <v>978</v>
      </c>
      <c r="G827" s="5" t="s">
        <v>39</v>
      </c>
      <c r="H827" s="5" t="s">
        <v>40</v>
      </c>
      <c r="I827" s="5" t="s">
        <v>796</v>
      </c>
      <c r="J827" s="5" t="n">
        <v>4</v>
      </c>
      <c r="K827" s="5"/>
      <c r="L827" s="6"/>
      <c r="M827" s="6"/>
      <c r="N827" s="6"/>
      <c r="O827" s="6"/>
      <c r="P827" s="5" t="str">
        <f aca="false">IF(M827="","",ROUND(M827*IFERROR(INDEX(Weights!$B$2:$B$4,MATCH(G827,Weights!$A$2:$A$4,0)),0)*IFERROR(INDEX(Weights!$B$7:$B$11,MATCH(E827,Weights!$A$7:$A$11,0)),0)*IFERROR(INDEX(Weights!$B$14:$B$17,MATCH(TEXT(J827,"0"),Weights!$A$14:$A$17,0)),0)/(1+N(N827)/50),1))</f>
        <v/>
      </c>
      <c r="Q827" s="5" t="s">
        <v>42</v>
      </c>
    </row>
    <row r="828" customFormat="false" ht="15" hidden="false" customHeight="false" outlineLevel="0" collapsed="false">
      <c r="A828" s="5" t="n">
        <v>827</v>
      </c>
      <c r="B828" s="5" t="s">
        <v>984</v>
      </c>
      <c r="C828" s="5" t="s">
        <v>47</v>
      </c>
      <c r="D828" s="5" t="s">
        <v>36</v>
      </c>
      <c r="E828" s="5" t="s">
        <v>794</v>
      </c>
      <c r="F828" s="5" t="s">
        <v>978</v>
      </c>
      <c r="G828" s="5" t="s">
        <v>39</v>
      </c>
      <c r="H828" s="5" t="s">
        <v>40</v>
      </c>
      <c r="I828" s="5" t="s">
        <v>796</v>
      </c>
      <c r="J828" s="5" t="n">
        <v>4</v>
      </c>
      <c r="K828" s="5"/>
      <c r="L828" s="6"/>
      <c r="M828" s="6"/>
      <c r="N828" s="6"/>
      <c r="O828" s="6"/>
      <c r="P828" s="5" t="str">
        <f aca="false">IF(M828="","",ROUND(M828*IFERROR(INDEX(Weights!$B$2:$B$4,MATCH(G828,Weights!$A$2:$A$4,0)),0)*IFERROR(INDEX(Weights!$B$7:$B$11,MATCH(E828,Weights!$A$7:$A$11,0)),0)*IFERROR(INDEX(Weights!$B$14:$B$17,MATCH(TEXT(J828,"0"),Weights!$A$14:$A$17,0)),0)/(1+N(N828)/50),1))</f>
        <v/>
      </c>
      <c r="Q828" s="5" t="s">
        <v>42</v>
      </c>
    </row>
    <row r="829" customFormat="false" ht="15" hidden="false" customHeight="false" outlineLevel="0" collapsed="false">
      <c r="A829" s="5" t="n">
        <v>828</v>
      </c>
      <c r="B829" s="5" t="s">
        <v>985</v>
      </c>
      <c r="C829" s="5" t="s">
        <v>51</v>
      </c>
      <c r="D829" s="5" t="s">
        <v>36</v>
      </c>
      <c r="E829" s="5" t="s">
        <v>794</v>
      </c>
      <c r="F829" s="5" t="s">
        <v>978</v>
      </c>
      <c r="G829" s="5" t="s">
        <v>39</v>
      </c>
      <c r="H829" s="5" t="s">
        <v>40</v>
      </c>
      <c r="I829" s="5" t="s">
        <v>796</v>
      </c>
      <c r="J829" s="5" t="n">
        <v>4</v>
      </c>
      <c r="K829" s="5"/>
      <c r="L829" s="6"/>
      <c r="M829" s="6"/>
      <c r="N829" s="6"/>
      <c r="O829" s="6"/>
      <c r="P829" s="5" t="str">
        <f aca="false">IF(M829="","",ROUND(M829*IFERROR(INDEX(Weights!$B$2:$B$4,MATCH(G829,Weights!$A$2:$A$4,0)),0)*IFERROR(INDEX(Weights!$B$7:$B$11,MATCH(E829,Weights!$A$7:$A$11,0)),0)*IFERROR(INDEX(Weights!$B$14:$B$17,MATCH(TEXT(J829,"0"),Weights!$A$14:$A$17,0)),0)/(1+N(N829)/50),1))</f>
        <v/>
      </c>
      <c r="Q829" s="5" t="s">
        <v>42</v>
      </c>
    </row>
    <row r="830" customFormat="false" ht="15" hidden="false" customHeight="false" outlineLevel="0" collapsed="false">
      <c r="A830" s="5" t="n">
        <v>829</v>
      </c>
      <c r="B830" s="5" t="s">
        <v>986</v>
      </c>
      <c r="C830" s="5" t="s">
        <v>51</v>
      </c>
      <c r="D830" s="5" t="s">
        <v>36</v>
      </c>
      <c r="E830" s="5" t="s">
        <v>794</v>
      </c>
      <c r="F830" s="5" t="s">
        <v>978</v>
      </c>
      <c r="G830" s="5" t="s">
        <v>39</v>
      </c>
      <c r="H830" s="5" t="s">
        <v>40</v>
      </c>
      <c r="I830" s="5" t="s">
        <v>796</v>
      </c>
      <c r="J830" s="5" t="n">
        <v>4</v>
      </c>
      <c r="K830" s="5"/>
      <c r="L830" s="6"/>
      <c r="M830" s="6"/>
      <c r="N830" s="6"/>
      <c r="O830" s="6"/>
      <c r="P830" s="5" t="str">
        <f aca="false">IF(M830="","",ROUND(M830*IFERROR(INDEX(Weights!$B$2:$B$4,MATCH(G830,Weights!$A$2:$A$4,0)),0)*IFERROR(INDEX(Weights!$B$7:$B$11,MATCH(E830,Weights!$A$7:$A$11,0)),0)*IFERROR(INDEX(Weights!$B$14:$B$17,MATCH(TEXT(J830,"0"),Weights!$A$14:$A$17,0)),0)/(1+N(N830)/50),1))</f>
        <v/>
      </c>
      <c r="Q830" s="5" t="s">
        <v>42</v>
      </c>
    </row>
    <row r="831" customFormat="false" ht="15" hidden="false" customHeight="false" outlineLevel="0" collapsed="false">
      <c r="A831" s="5" t="n">
        <v>830</v>
      </c>
      <c r="B831" s="5" t="s">
        <v>987</v>
      </c>
      <c r="C831" s="5" t="s">
        <v>51</v>
      </c>
      <c r="D831" s="5" t="s">
        <v>36</v>
      </c>
      <c r="E831" s="5" t="s">
        <v>794</v>
      </c>
      <c r="F831" s="5" t="s">
        <v>978</v>
      </c>
      <c r="G831" s="5" t="s">
        <v>39</v>
      </c>
      <c r="H831" s="5" t="s">
        <v>40</v>
      </c>
      <c r="I831" s="5" t="s">
        <v>796</v>
      </c>
      <c r="J831" s="5" t="n">
        <v>4</v>
      </c>
      <c r="K831" s="5"/>
      <c r="L831" s="6"/>
      <c r="M831" s="6"/>
      <c r="N831" s="6"/>
      <c r="O831" s="6"/>
      <c r="P831" s="5" t="str">
        <f aca="false">IF(M831="","",ROUND(M831*IFERROR(INDEX(Weights!$B$2:$B$4,MATCH(G831,Weights!$A$2:$A$4,0)),0)*IFERROR(INDEX(Weights!$B$7:$B$11,MATCH(E831,Weights!$A$7:$A$11,0)),0)*IFERROR(INDEX(Weights!$B$14:$B$17,MATCH(TEXT(J831,"0"),Weights!$A$14:$A$17,0)),0)/(1+N(N831)/50),1))</f>
        <v/>
      </c>
      <c r="Q831" s="5" t="s">
        <v>42</v>
      </c>
    </row>
    <row r="832" customFormat="false" ht="15" hidden="false" customHeight="false" outlineLevel="0" collapsed="false">
      <c r="A832" s="5" t="n">
        <v>831</v>
      </c>
      <c r="B832" s="5" t="s">
        <v>988</v>
      </c>
      <c r="C832" s="5" t="s">
        <v>54</v>
      </c>
      <c r="D832" s="5" t="s">
        <v>36</v>
      </c>
      <c r="E832" s="5" t="s">
        <v>794</v>
      </c>
      <c r="F832" s="5" t="s">
        <v>978</v>
      </c>
      <c r="G832" s="5" t="s">
        <v>39</v>
      </c>
      <c r="H832" s="5" t="s">
        <v>40</v>
      </c>
      <c r="I832" s="5" t="s">
        <v>796</v>
      </c>
      <c r="J832" s="5" t="n">
        <v>4</v>
      </c>
      <c r="K832" s="5"/>
      <c r="L832" s="6"/>
      <c r="M832" s="6"/>
      <c r="N832" s="6"/>
      <c r="O832" s="6"/>
      <c r="P832" s="5" t="str">
        <f aca="false">IF(M832="","",ROUND(M832*IFERROR(INDEX(Weights!$B$2:$B$4,MATCH(G832,Weights!$A$2:$A$4,0)),0)*IFERROR(INDEX(Weights!$B$7:$B$11,MATCH(E832,Weights!$A$7:$A$11,0)),0)*IFERROR(INDEX(Weights!$B$14:$B$17,MATCH(TEXT(J832,"0"),Weights!$A$14:$A$17,0)),0)/(1+N(N832)/50),1))</f>
        <v/>
      </c>
      <c r="Q832" s="5" t="s">
        <v>42</v>
      </c>
    </row>
    <row r="833" customFormat="false" ht="15" hidden="false" customHeight="false" outlineLevel="0" collapsed="false">
      <c r="A833" s="5" t="n">
        <v>832</v>
      </c>
      <c r="B833" s="5" t="s">
        <v>989</v>
      </c>
      <c r="C833" s="5" t="s">
        <v>54</v>
      </c>
      <c r="D833" s="5" t="s">
        <v>36</v>
      </c>
      <c r="E833" s="5" t="s">
        <v>794</v>
      </c>
      <c r="F833" s="5" t="s">
        <v>978</v>
      </c>
      <c r="G833" s="5" t="s">
        <v>39</v>
      </c>
      <c r="H833" s="5" t="s">
        <v>40</v>
      </c>
      <c r="I833" s="5" t="s">
        <v>796</v>
      </c>
      <c r="J833" s="5" t="n">
        <v>4</v>
      </c>
      <c r="K833" s="5"/>
      <c r="L833" s="6"/>
      <c r="M833" s="6"/>
      <c r="N833" s="6"/>
      <c r="O833" s="6"/>
      <c r="P833" s="5" t="str">
        <f aca="false">IF(M833="","",ROUND(M833*IFERROR(INDEX(Weights!$B$2:$B$4,MATCH(G833,Weights!$A$2:$A$4,0)),0)*IFERROR(INDEX(Weights!$B$7:$B$11,MATCH(E833,Weights!$A$7:$A$11,0)),0)*IFERROR(INDEX(Weights!$B$14:$B$17,MATCH(TEXT(J833,"0"),Weights!$A$14:$A$17,0)),0)/(1+N(N833)/50),1))</f>
        <v/>
      </c>
      <c r="Q833" s="5" t="s">
        <v>42</v>
      </c>
    </row>
    <row r="834" customFormat="false" ht="15" hidden="false" customHeight="false" outlineLevel="0" collapsed="false">
      <c r="A834" s="5" t="n">
        <v>833</v>
      </c>
      <c r="B834" s="5" t="s">
        <v>990</v>
      </c>
      <c r="C834" s="5" t="s">
        <v>57</v>
      </c>
      <c r="D834" s="5" t="s">
        <v>36</v>
      </c>
      <c r="E834" s="5" t="s">
        <v>794</v>
      </c>
      <c r="F834" s="5" t="s">
        <v>978</v>
      </c>
      <c r="G834" s="5" t="s">
        <v>39</v>
      </c>
      <c r="H834" s="5" t="s">
        <v>40</v>
      </c>
      <c r="I834" s="5" t="s">
        <v>796</v>
      </c>
      <c r="J834" s="5" t="n">
        <v>4</v>
      </c>
      <c r="K834" s="5"/>
      <c r="L834" s="6"/>
      <c r="M834" s="6"/>
      <c r="N834" s="6"/>
      <c r="O834" s="6"/>
      <c r="P834" s="5" t="str">
        <f aca="false">IF(M834="","",ROUND(M834*IFERROR(INDEX(Weights!$B$2:$B$4,MATCH(G834,Weights!$A$2:$A$4,0)),0)*IFERROR(INDEX(Weights!$B$7:$B$11,MATCH(E834,Weights!$A$7:$A$11,0)),0)*IFERROR(INDEX(Weights!$B$14:$B$17,MATCH(TEXT(J834,"0"),Weights!$A$14:$A$17,0)),0)/(1+N(N834)/50),1))</f>
        <v/>
      </c>
      <c r="Q834" s="5" t="s">
        <v>42</v>
      </c>
    </row>
    <row r="835" customFormat="false" ht="15" hidden="false" customHeight="false" outlineLevel="0" collapsed="false">
      <c r="A835" s="5" t="n">
        <v>834</v>
      </c>
      <c r="B835" s="5" t="s">
        <v>991</v>
      </c>
      <c r="C835" s="5" t="s">
        <v>57</v>
      </c>
      <c r="D835" s="5" t="s">
        <v>36</v>
      </c>
      <c r="E835" s="5" t="s">
        <v>794</v>
      </c>
      <c r="F835" s="5" t="s">
        <v>978</v>
      </c>
      <c r="G835" s="5" t="s">
        <v>39</v>
      </c>
      <c r="H835" s="5" t="s">
        <v>40</v>
      </c>
      <c r="I835" s="5" t="s">
        <v>796</v>
      </c>
      <c r="J835" s="5" t="n">
        <v>4</v>
      </c>
      <c r="K835" s="5"/>
      <c r="L835" s="6"/>
      <c r="M835" s="6"/>
      <c r="N835" s="6"/>
      <c r="O835" s="6"/>
      <c r="P835" s="5" t="str">
        <f aca="false">IF(M835="","",ROUND(M835*IFERROR(INDEX(Weights!$B$2:$B$4,MATCH(G835,Weights!$A$2:$A$4,0)),0)*IFERROR(INDEX(Weights!$B$7:$B$11,MATCH(E835,Weights!$A$7:$A$11,0)),0)*IFERROR(INDEX(Weights!$B$14:$B$17,MATCH(TEXT(J835,"0"),Weights!$A$14:$A$17,0)),0)/(1+N(N835)/50),1))</f>
        <v/>
      </c>
      <c r="Q835" s="5" t="s">
        <v>42</v>
      </c>
    </row>
    <row r="836" customFormat="false" ht="15" hidden="false" customHeight="false" outlineLevel="0" collapsed="false">
      <c r="A836" s="5" t="n">
        <v>835</v>
      </c>
      <c r="B836" s="5" t="s">
        <v>992</v>
      </c>
      <c r="C836" s="5" t="s">
        <v>57</v>
      </c>
      <c r="D836" s="5" t="s">
        <v>36</v>
      </c>
      <c r="E836" s="5" t="s">
        <v>794</v>
      </c>
      <c r="F836" s="5" t="s">
        <v>978</v>
      </c>
      <c r="G836" s="5" t="s">
        <v>39</v>
      </c>
      <c r="H836" s="5" t="s">
        <v>40</v>
      </c>
      <c r="I836" s="5" t="s">
        <v>796</v>
      </c>
      <c r="J836" s="5" t="n">
        <v>4</v>
      </c>
      <c r="K836" s="5"/>
      <c r="L836" s="6"/>
      <c r="M836" s="6"/>
      <c r="N836" s="6"/>
      <c r="O836" s="6"/>
      <c r="P836" s="5" t="str">
        <f aca="false">IF(M836="","",ROUND(M836*IFERROR(INDEX(Weights!$B$2:$B$4,MATCH(G836,Weights!$A$2:$A$4,0)),0)*IFERROR(INDEX(Weights!$B$7:$B$11,MATCH(E836,Weights!$A$7:$A$11,0)),0)*IFERROR(INDEX(Weights!$B$14:$B$17,MATCH(TEXT(J836,"0"),Weights!$A$14:$A$17,0)),0)/(1+N(N836)/50),1))</f>
        <v/>
      </c>
      <c r="Q836" s="5" t="s">
        <v>42</v>
      </c>
    </row>
    <row r="837" customFormat="false" ht="15" hidden="false" customHeight="false" outlineLevel="0" collapsed="false">
      <c r="A837" s="5" t="n">
        <v>836</v>
      </c>
      <c r="B837" s="5" t="s">
        <v>993</v>
      </c>
      <c r="C837" s="5" t="s">
        <v>464</v>
      </c>
      <c r="D837" s="5" t="s">
        <v>36</v>
      </c>
      <c r="E837" s="5" t="s">
        <v>794</v>
      </c>
      <c r="F837" s="5" t="s">
        <v>978</v>
      </c>
      <c r="G837" s="5" t="s">
        <v>39</v>
      </c>
      <c r="H837" s="5" t="s">
        <v>40</v>
      </c>
      <c r="I837" s="5" t="s">
        <v>796</v>
      </c>
      <c r="J837" s="5" t="n">
        <v>4</v>
      </c>
      <c r="K837" s="5"/>
      <c r="L837" s="6"/>
      <c r="M837" s="6"/>
      <c r="N837" s="6"/>
      <c r="O837" s="6"/>
      <c r="P837" s="5" t="str">
        <f aca="false">IF(M837="","",ROUND(M837*IFERROR(INDEX(Weights!$B$2:$B$4,MATCH(G837,Weights!$A$2:$A$4,0)),0)*IFERROR(INDEX(Weights!$B$7:$B$11,MATCH(E837,Weights!$A$7:$A$11,0)),0)*IFERROR(INDEX(Weights!$B$14:$B$17,MATCH(TEXT(J837,"0"),Weights!$A$14:$A$17,0)),0)/(1+N(N837)/50),1))</f>
        <v/>
      </c>
      <c r="Q837" s="5" t="s">
        <v>42</v>
      </c>
    </row>
    <row r="838" customFormat="false" ht="15" hidden="false" customHeight="false" outlineLevel="0" collapsed="false">
      <c r="A838" s="5" t="n">
        <v>837</v>
      </c>
      <c r="B838" s="5" t="s">
        <v>994</v>
      </c>
      <c r="C838" s="5" t="s">
        <v>464</v>
      </c>
      <c r="D838" s="5" t="s">
        <v>36</v>
      </c>
      <c r="E838" s="5" t="s">
        <v>794</v>
      </c>
      <c r="F838" s="5" t="s">
        <v>978</v>
      </c>
      <c r="G838" s="5" t="s">
        <v>39</v>
      </c>
      <c r="H838" s="5" t="s">
        <v>40</v>
      </c>
      <c r="I838" s="5" t="s">
        <v>796</v>
      </c>
      <c r="J838" s="5" t="n">
        <v>4</v>
      </c>
      <c r="K838" s="5"/>
      <c r="L838" s="6"/>
      <c r="M838" s="6"/>
      <c r="N838" s="6"/>
      <c r="O838" s="6"/>
      <c r="P838" s="5" t="str">
        <f aca="false">IF(M838="","",ROUND(M838*IFERROR(INDEX(Weights!$B$2:$B$4,MATCH(G838,Weights!$A$2:$A$4,0)),0)*IFERROR(INDEX(Weights!$B$7:$B$11,MATCH(E838,Weights!$A$7:$A$11,0)),0)*IFERROR(INDEX(Weights!$B$14:$B$17,MATCH(TEXT(J838,"0"),Weights!$A$14:$A$17,0)),0)/(1+N(N838)/50),1))</f>
        <v/>
      </c>
      <c r="Q838" s="5" t="s">
        <v>42</v>
      </c>
    </row>
    <row r="839" customFormat="false" ht="15" hidden="false" customHeight="false" outlineLevel="0" collapsed="false">
      <c r="A839" s="5" t="n">
        <v>838</v>
      </c>
      <c r="B839" s="5" t="s">
        <v>995</v>
      </c>
      <c r="C839" s="5" t="s">
        <v>464</v>
      </c>
      <c r="D839" s="5" t="s">
        <v>36</v>
      </c>
      <c r="E839" s="5" t="s">
        <v>794</v>
      </c>
      <c r="F839" s="5" t="s">
        <v>978</v>
      </c>
      <c r="G839" s="5" t="s">
        <v>39</v>
      </c>
      <c r="H839" s="5" t="s">
        <v>40</v>
      </c>
      <c r="I839" s="5" t="s">
        <v>796</v>
      </c>
      <c r="J839" s="5" t="n">
        <v>4</v>
      </c>
      <c r="K839" s="5"/>
      <c r="L839" s="6"/>
      <c r="M839" s="6"/>
      <c r="N839" s="6"/>
      <c r="O839" s="6"/>
      <c r="P839" s="5" t="str">
        <f aca="false">IF(M839="","",ROUND(M839*IFERROR(INDEX(Weights!$B$2:$B$4,MATCH(G839,Weights!$A$2:$A$4,0)),0)*IFERROR(INDEX(Weights!$B$7:$B$11,MATCH(E839,Weights!$A$7:$A$11,0)),0)*IFERROR(INDEX(Weights!$B$14:$B$17,MATCH(TEXT(J839,"0"),Weights!$A$14:$A$17,0)),0)/(1+N(N839)/50),1))</f>
        <v/>
      </c>
      <c r="Q839" s="5" t="s">
        <v>42</v>
      </c>
    </row>
    <row r="840" customFormat="false" ht="15" hidden="false" customHeight="false" outlineLevel="0" collapsed="false">
      <c r="A840" s="5" t="n">
        <v>839</v>
      </c>
      <c r="B840" s="5" t="s">
        <v>996</v>
      </c>
      <c r="C840" s="5" t="s">
        <v>456</v>
      </c>
      <c r="D840" s="5" t="s">
        <v>36</v>
      </c>
      <c r="E840" s="5" t="s">
        <v>794</v>
      </c>
      <c r="F840" s="5" t="s">
        <v>978</v>
      </c>
      <c r="G840" s="5" t="s">
        <v>39</v>
      </c>
      <c r="H840" s="5" t="s">
        <v>40</v>
      </c>
      <c r="I840" s="5" t="s">
        <v>796</v>
      </c>
      <c r="J840" s="5" t="n">
        <v>4</v>
      </c>
      <c r="K840" s="5"/>
      <c r="L840" s="6"/>
      <c r="M840" s="6"/>
      <c r="N840" s="6"/>
      <c r="O840" s="6"/>
      <c r="P840" s="5" t="str">
        <f aca="false">IF(M840="","",ROUND(M840*IFERROR(INDEX(Weights!$B$2:$B$4,MATCH(G840,Weights!$A$2:$A$4,0)),0)*IFERROR(INDEX(Weights!$B$7:$B$11,MATCH(E840,Weights!$A$7:$A$11,0)),0)*IFERROR(INDEX(Weights!$B$14:$B$17,MATCH(TEXT(J840,"0"),Weights!$A$14:$A$17,0)),0)/(1+N(N840)/50),1))</f>
        <v/>
      </c>
      <c r="Q840" s="5" t="s">
        <v>42</v>
      </c>
    </row>
    <row r="841" customFormat="false" ht="15" hidden="false" customHeight="false" outlineLevel="0" collapsed="false">
      <c r="A841" s="5" t="n">
        <v>840</v>
      </c>
      <c r="B841" s="5" t="s">
        <v>997</v>
      </c>
      <c r="C841" s="5" t="s">
        <v>456</v>
      </c>
      <c r="D841" s="5" t="s">
        <v>36</v>
      </c>
      <c r="E841" s="5" t="s">
        <v>794</v>
      </c>
      <c r="F841" s="5" t="s">
        <v>978</v>
      </c>
      <c r="G841" s="5" t="s">
        <v>39</v>
      </c>
      <c r="H841" s="5" t="s">
        <v>40</v>
      </c>
      <c r="I841" s="5" t="s">
        <v>796</v>
      </c>
      <c r="J841" s="5" t="n">
        <v>4</v>
      </c>
      <c r="K841" s="5"/>
      <c r="L841" s="6"/>
      <c r="M841" s="6"/>
      <c r="N841" s="6"/>
      <c r="O841" s="6"/>
      <c r="P841" s="5" t="str">
        <f aca="false">IF(M841="","",ROUND(M841*IFERROR(INDEX(Weights!$B$2:$B$4,MATCH(G841,Weights!$A$2:$A$4,0)),0)*IFERROR(INDEX(Weights!$B$7:$B$11,MATCH(E841,Weights!$A$7:$A$11,0)),0)*IFERROR(INDEX(Weights!$B$14:$B$17,MATCH(TEXT(J841,"0"),Weights!$A$14:$A$17,0)),0)/(1+N(N841)/50),1))</f>
        <v/>
      </c>
      <c r="Q841" s="5" t="s">
        <v>42</v>
      </c>
    </row>
    <row r="842" customFormat="false" ht="15" hidden="false" customHeight="false" outlineLevel="0" collapsed="false">
      <c r="A842" s="5" t="n">
        <v>841</v>
      </c>
      <c r="B842" s="5" t="s">
        <v>998</v>
      </c>
      <c r="C842" s="5" t="s">
        <v>64</v>
      </c>
      <c r="D842" s="5" t="s">
        <v>36</v>
      </c>
      <c r="E842" s="5" t="s">
        <v>794</v>
      </c>
      <c r="F842" s="5" t="s">
        <v>978</v>
      </c>
      <c r="G842" s="5" t="s">
        <v>39</v>
      </c>
      <c r="H842" s="5" t="s">
        <v>40</v>
      </c>
      <c r="I842" s="5" t="s">
        <v>796</v>
      </c>
      <c r="J842" s="5" t="n">
        <v>4</v>
      </c>
      <c r="K842" s="5"/>
      <c r="L842" s="6"/>
      <c r="M842" s="6"/>
      <c r="N842" s="6"/>
      <c r="O842" s="6"/>
      <c r="P842" s="5" t="str">
        <f aca="false">IF(M842="","",ROUND(M842*IFERROR(INDEX(Weights!$B$2:$B$4,MATCH(G842,Weights!$A$2:$A$4,0)),0)*IFERROR(INDEX(Weights!$B$7:$B$11,MATCH(E842,Weights!$A$7:$A$11,0)),0)*IFERROR(INDEX(Weights!$B$14:$B$17,MATCH(TEXT(J842,"0"),Weights!$A$14:$A$17,0)),0)/(1+N(N842)/50),1))</f>
        <v/>
      </c>
      <c r="Q842" s="5" t="s">
        <v>42</v>
      </c>
    </row>
    <row r="843" customFormat="false" ht="15" hidden="false" customHeight="false" outlineLevel="0" collapsed="false">
      <c r="A843" s="5" t="n">
        <v>842</v>
      </c>
      <c r="B843" s="5" t="s">
        <v>999</v>
      </c>
      <c r="C843" s="5" t="s">
        <v>64</v>
      </c>
      <c r="D843" s="5" t="s">
        <v>36</v>
      </c>
      <c r="E843" s="5" t="s">
        <v>794</v>
      </c>
      <c r="F843" s="5" t="s">
        <v>978</v>
      </c>
      <c r="G843" s="5" t="s">
        <v>39</v>
      </c>
      <c r="H843" s="5" t="s">
        <v>40</v>
      </c>
      <c r="I843" s="5" t="s">
        <v>796</v>
      </c>
      <c r="J843" s="5" t="n">
        <v>4</v>
      </c>
      <c r="K843" s="5"/>
      <c r="L843" s="6"/>
      <c r="M843" s="6"/>
      <c r="N843" s="6"/>
      <c r="O843" s="6"/>
      <c r="P843" s="5" t="str">
        <f aca="false">IF(M843="","",ROUND(M843*IFERROR(INDEX(Weights!$B$2:$B$4,MATCH(G843,Weights!$A$2:$A$4,0)),0)*IFERROR(INDEX(Weights!$B$7:$B$11,MATCH(E843,Weights!$A$7:$A$11,0)),0)*IFERROR(INDEX(Weights!$B$14:$B$17,MATCH(TEXT(J843,"0"),Weights!$A$14:$A$17,0)),0)/(1+N(N843)/50),1))</f>
        <v/>
      </c>
      <c r="Q843" s="5" t="s">
        <v>42</v>
      </c>
    </row>
    <row r="844" customFormat="false" ht="15" hidden="false" customHeight="false" outlineLevel="0" collapsed="false">
      <c r="A844" s="5" t="n">
        <v>843</v>
      </c>
      <c r="B844" s="5" t="s">
        <v>1000</v>
      </c>
      <c r="C844" s="5" t="s">
        <v>61</v>
      </c>
      <c r="D844" s="5" t="s">
        <v>36</v>
      </c>
      <c r="E844" s="5" t="s">
        <v>794</v>
      </c>
      <c r="F844" s="5" t="s">
        <v>978</v>
      </c>
      <c r="G844" s="5" t="s">
        <v>39</v>
      </c>
      <c r="H844" s="5" t="s">
        <v>40</v>
      </c>
      <c r="I844" s="5" t="s">
        <v>796</v>
      </c>
      <c r="J844" s="5" t="n">
        <v>4</v>
      </c>
      <c r="K844" s="5"/>
      <c r="L844" s="6"/>
      <c r="M844" s="6"/>
      <c r="N844" s="6"/>
      <c r="O844" s="6"/>
      <c r="P844" s="5" t="str">
        <f aca="false">IF(M844="","",ROUND(M844*IFERROR(INDEX(Weights!$B$2:$B$4,MATCH(G844,Weights!$A$2:$A$4,0)),0)*IFERROR(INDEX(Weights!$B$7:$B$11,MATCH(E844,Weights!$A$7:$A$11,0)),0)*IFERROR(INDEX(Weights!$B$14:$B$17,MATCH(TEXT(J844,"0"),Weights!$A$14:$A$17,0)),0)/(1+N(N844)/50),1))</f>
        <v/>
      </c>
      <c r="Q844" s="5" t="s">
        <v>42</v>
      </c>
    </row>
    <row r="845" customFormat="false" ht="15" hidden="false" customHeight="false" outlineLevel="0" collapsed="false">
      <c r="A845" s="5" t="n">
        <v>844</v>
      </c>
      <c r="B845" s="5" t="s">
        <v>1001</v>
      </c>
      <c r="C845" s="5" t="s">
        <v>66</v>
      </c>
      <c r="D845" s="5" t="s">
        <v>36</v>
      </c>
      <c r="E845" s="5" t="s">
        <v>794</v>
      </c>
      <c r="F845" s="5" t="s">
        <v>978</v>
      </c>
      <c r="G845" s="5" t="s">
        <v>39</v>
      </c>
      <c r="H845" s="5" t="s">
        <v>40</v>
      </c>
      <c r="I845" s="5" t="s">
        <v>796</v>
      </c>
      <c r="J845" s="5" t="n">
        <v>4</v>
      </c>
      <c r="K845" s="5"/>
      <c r="L845" s="6"/>
      <c r="M845" s="6"/>
      <c r="N845" s="6"/>
      <c r="O845" s="6"/>
      <c r="P845" s="5" t="str">
        <f aca="false">IF(M845="","",ROUND(M845*IFERROR(INDEX(Weights!$B$2:$B$4,MATCH(G845,Weights!$A$2:$A$4,0)),0)*IFERROR(INDEX(Weights!$B$7:$B$11,MATCH(E845,Weights!$A$7:$A$11,0)),0)*IFERROR(INDEX(Weights!$B$14:$B$17,MATCH(TEXT(J845,"0"),Weights!$A$14:$A$17,0)),0)/(1+N(N845)/50),1))</f>
        <v/>
      </c>
      <c r="Q845" s="5" t="s">
        <v>42</v>
      </c>
    </row>
    <row r="846" customFormat="false" ht="15" hidden="false" customHeight="false" outlineLevel="0" collapsed="false">
      <c r="A846" s="5" t="n">
        <v>845</v>
      </c>
      <c r="B846" s="5" t="s">
        <v>1002</v>
      </c>
      <c r="C846" s="5" t="s">
        <v>69</v>
      </c>
      <c r="D846" s="5" t="s">
        <v>36</v>
      </c>
      <c r="E846" s="5" t="s">
        <v>794</v>
      </c>
      <c r="F846" s="5" t="s">
        <v>978</v>
      </c>
      <c r="G846" s="5" t="s">
        <v>39</v>
      </c>
      <c r="H846" s="5" t="s">
        <v>40</v>
      </c>
      <c r="I846" s="5" t="s">
        <v>796</v>
      </c>
      <c r="J846" s="5" t="n">
        <v>4</v>
      </c>
      <c r="K846" s="5"/>
      <c r="L846" s="6"/>
      <c r="M846" s="6"/>
      <c r="N846" s="6"/>
      <c r="O846" s="6"/>
      <c r="P846" s="5" t="str">
        <f aca="false">IF(M846="","",ROUND(M846*IFERROR(INDEX(Weights!$B$2:$B$4,MATCH(G846,Weights!$A$2:$A$4,0)),0)*IFERROR(INDEX(Weights!$B$7:$B$11,MATCH(E846,Weights!$A$7:$A$11,0)),0)*IFERROR(INDEX(Weights!$B$14:$B$17,MATCH(TEXT(J846,"0"),Weights!$A$14:$A$17,0)),0)/(1+N(N846)/50),1))</f>
        <v/>
      </c>
      <c r="Q846" s="5" t="s">
        <v>42</v>
      </c>
    </row>
    <row r="847" customFormat="false" ht="15" hidden="false" customHeight="false" outlineLevel="0" collapsed="false">
      <c r="A847" s="5" t="n">
        <v>846</v>
      </c>
      <c r="B847" s="5" t="s">
        <v>1003</v>
      </c>
      <c r="C847" s="5" t="s">
        <v>35</v>
      </c>
      <c r="D847" s="5" t="s">
        <v>36</v>
      </c>
      <c r="E847" s="5" t="s">
        <v>794</v>
      </c>
      <c r="F847" s="5" t="s">
        <v>1004</v>
      </c>
      <c r="G847" s="5" t="s">
        <v>39</v>
      </c>
      <c r="H847" s="5" t="s">
        <v>40</v>
      </c>
      <c r="I847" s="5" t="s">
        <v>796</v>
      </c>
      <c r="J847" s="5" t="n">
        <v>4</v>
      </c>
      <c r="K847" s="5"/>
      <c r="L847" s="6"/>
      <c r="M847" s="6"/>
      <c r="N847" s="6"/>
      <c r="O847" s="6"/>
      <c r="P847" s="5" t="str">
        <f aca="false">IF(M847="","",ROUND(M847*IFERROR(INDEX(Weights!$B$2:$B$4,MATCH(G847,Weights!$A$2:$A$4,0)),0)*IFERROR(INDEX(Weights!$B$7:$B$11,MATCH(E847,Weights!$A$7:$A$11,0)),0)*IFERROR(INDEX(Weights!$B$14:$B$17,MATCH(TEXT(J847,"0"),Weights!$A$14:$A$17,0)),0)/(1+N(N847)/50),1))</f>
        <v/>
      </c>
      <c r="Q847" s="5" t="s">
        <v>42</v>
      </c>
    </row>
    <row r="848" customFormat="false" ht="15" hidden="false" customHeight="false" outlineLevel="0" collapsed="false">
      <c r="A848" s="5" t="n">
        <v>847</v>
      </c>
      <c r="B848" s="5" t="s">
        <v>1005</v>
      </c>
      <c r="C848" s="5" t="s">
        <v>35</v>
      </c>
      <c r="D848" s="5" t="s">
        <v>36</v>
      </c>
      <c r="E848" s="5" t="s">
        <v>794</v>
      </c>
      <c r="F848" s="5" t="s">
        <v>1004</v>
      </c>
      <c r="G848" s="5" t="s">
        <v>39</v>
      </c>
      <c r="H848" s="5" t="s">
        <v>40</v>
      </c>
      <c r="I848" s="5" t="s">
        <v>796</v>
      </c>
      <c r="J848" s="5" t="n">
        <v>4</v>
      </c>
      <c r="K848" s="5"/>
      <c r="L848" s="6"/>
      <c r="M848" s="6"/>
      <c r="N848" s="6"/>
      <c r="O848" s="6"/>
      <c r="P848" s="5" t="str">
        <f aca="false">IF(M848="","",ROUND(M848*IFERROR(INDEX(Weights!$B$2:$B$4,MATCH(G848,Weights!$A$2:$A$4,0)),0)*IFERROR(INDEX(Weights!$B$7:$B$11,MATCH(E848,Weights!$A$7:$A$11,0)),0)*IFERROR(INDEX(Weights!$B$14:$B$17,MATCH(TEXT(J848,"0"),Weights!$A$14:$A$17,0)),0)/(1+N(N848)/50),1))</f>
        <v/>
      </c>
      <c r="Q848" s="5" t="s">
        <v>42</v>
      </c>
    </row>
    <row r="849" customFormat="false" ht="15" hidden="false" customHeight="false" outlineLevel="0" collapsed="false">
      <c r="A849" s="5" t="n">
        <v>848</v>
      </c>
      <c r="B849" s="5" t="s">
        <v>1006</v>
      </c>
      <c r="C849" s="5" t="s">
        <v>35</v>
      </c>
      <c r="D849" s="5" t="s">
        <v>36</v>
      </c>
      <c r="E849" s="5" t="s">
        <v>794</v>
      </c>
      <c r="F849" s="5" t="s">
        <v>1004</v>
      </c>
      <c r="G849" s="5" t="s">
        <v>39</v>
      </c>
      <c r="H849" s="5" t="s">
        <v>40</v>
      </c>
      <c r="I849" s="5" t="s">
        <v>796</v>
      </c>
      <c r="J849" s="5" t="n">
        <v>4</v>
      </c>
      <c r="K849" s="5"/>
      <c r="L849" s="6"/>
      <c r="M849" s="6"/>
      <c r="N849" s="6"/>
      <c r="O849" s="6"/>
      <c r="P849" s="5" t="str">
        <f aca="false">IF(M849="","",ROUND(M849*IFERROR(INDEX(Weights!$B$2:$B$4,MATCH(G849,Weights!$A$2:$A$4,0)),0)*IFERROR(INDEX(Weights!$B$7:$B$11,MATCH(E849,Weights!$A$7:$A$11,0)),0)*IFERROR(INDEX(Weights!$B$14:$B$17,MATCH(TEXT(J849,"0"),Weights!$A$14:$A$17,0)),0)/(1+N(N849)/50),1))</f>
        <v/>
      </c>
      <c r="Q849" s="5" t="s">
        <v>42</v>
      </c>
    </row>
    <row r="850" customFormat="false" ht="15" hidden="false" customHeight="false" outlineLevel="0" collapsed="false">
      <c r="A850" s="5" t="n">
        <v>849</v>
      </c>
      <c r="B850" s="5" t="s">
        <v>1007</v>
      </c>
      <c r="C850" s="5" t="s">
        <v>47</v>
      </c>
      <c r="D850" s="5" t="s">
        <v>36</v>
      </c>
      <c r="E850" s="5" t="s">
        <v>794</v>
      </c>
      <c r="F850" s="5" t="s">
        <v>1004</v>
      </c>
      <c r="G850" s="5" t="s">
        <v>39</v>
      </c>
      <c r="H850" s="5" t="s">
        <v>40</v>
      </c>
      <c r="I850" s="5" t="s">
        <v>796</v>
      </c>
      <c r="J850" s="5" t="n">
        <v>4</v>
      </c>
      <c r="K850" s="5"/>
      <c r="L850" s="6"/>
      <c r="M850" s="6"/>
      <c r="N850" s="6"/>
      <c r="O850" s="6"/>
      <c r="P850" s="5" t="str">
        <f aca="false">IF(M850="","",ROUND(M850*IFERROR(INDEX(Weights!$B$2:$B$4,MATCH(G850,Weights!$A$2:$A$4,0)),0)*IFERROR(INDEX(Weights!$B$7:$B$11,MATCH(E850,Weights!$A$7:$A$11,0)),0)*IFERROR(INDEX(Weights!$B$14:$B$17,MATCH(TEXT(J850,"0"),Weights!$A$14:$A$17,0)),0)/(1+N(N850)/50),1))</f>
        <v/>
      </c>
      <c r="Q850" s="5" t="s">
        <v>42</v>
      </c>
    </row>
    <row r="851" customFormat="false" ht="15" hidden="false" customHeight="false" outlineLevel="0" collapsed="false">
      <c r="A851" s="5" t="n">
        <v>850</v>
      </c>
      <c r="B851" s="5" t="s">
        <v>1008</v>
      </c>
      <c r="C851" s="5" t="s">
        <v>47</v>
      </c>
      <c r="D851" s="5" t="s">
        <v>36</v>
      </c>
      <c r="E851" s="5" t="s">
        <v>794</v>
      </c>
      <c r="F851" s="5" t="s">
        <v>1004</v>
      </c>
      <c r="G851" s="5" t="s">
        <v>39</v>
      </c>
      <c r="H851" s="5" t="s">
        <v>40</v>
      </c>
      <c r="I851" s="5" t="s">
        <v>796</v>
      </c>
      <c r="J851" s="5" t="n">
        <v>4</v>
      </c>
      <c r="K851" s="5"/>
      <c r="L851" s="6"/>
      <c r="M851" s="6"/>
      <c r="N851" s="6"/>
      <c r="O851" s="6"/>
      <c r="P851" s="5" t="str">
        <f aca="false">IF(M851="","",ROUND(M851*IFERROR(INDEX(Weights!$B$2:$B$4,MATCH(G851,Weights!$A$2:$A$4,0)),0)*IFERROR(INDEX(Weights!$B$7:$B$11,MATCH(E851,Weights!$A$7:$A$11,0)),0)*IFERROR(INDEX(Weights!$B$14:$B$17,MATCH(TEXT(J851,"0"),Weights!$A$14:$A$17,0)),0)/(1+N(N851)/50),1))</f>
        <v/>
      </c>
      <c r="Q851" s="5" t="s">
        <v>42</v>
      </c>
    </row>
    <row r="852" customFormat="false" ht="15" hidden="false" customHeight="false" outlineLevel="0" collapsed="false">
      <c r="A852" s="5" t="n">
        <v>851</v>
      </c>
      <c r="B852" s="5" t="s">
        <v>1009</v>
      </c>
      <c r="C852" s="5" t="s">
        <v>47</v>
      </c>
      <c r="D852" s="5" t="s">
        <v>36</v>
      </c>
      <c r="E852" s="5" t="s">
        <v>794</v>
      </c>
      <c r="F852" s="5" t="s">
        <v>1004</v>
      </c>
      <c r="G852" s="5" t="s">
        <v>39</v>
      </c>
      <c r="H852" s="5" t="s">
        <v>40</v>
      </c>
      <c r="I852" s="5" t="s">
        <v>796</v>
      </c>
      <c r="J852" s="5" t="n">
        <v>4</v>
      </c>
      <c r="K852" s="5"/>
      <c r="L852" s="6"/>
      <c r="M852" s="6"/>
      <c r="N852" s="6"/>
      <c r="O852" s="6"/>
      <c r="P852" s="5" t="str">
        <f aca="false">IF(M852="","",ROUND(M852*IFERROR(INDEX(Weights!$B$2:$B$4,MATCH(G852,Weights!$A$2:$A$4,0)),0)*IFERROR(INDEX(Weights!$B$7:$B$11,MATCH(E852,Weights!$A$7:$A$11,0)),0)*IFERROR(INDEX(Weights!$B$14:$B$17,MATCH(TEXT(J852,"0"),Weights!$A$14:$A$17,0)),0)/(1+N(N852)/50),1))</f>
        <v/>
      </c>
      <c r="Q852" s="5" t="s">
        <v>42</v>
      </c>
    </row>
    <row r="853" customFormat="false" ht="15" hidden="false" customHeight="false" outlineLevel="0" collapsed="false">
      <c r="A853" s="5" t="n">
        <v>852</v>
      </c>
      <c r="B853" s="5" t="s">
        <v>1010</v>
      </c>
      <c r="C853" s="5" t="s">
        <v>47</v>
      </c>
      <c r="D853" s="5" t="s">
        <v>36</v>
      </c>
      <c r="E853" s="5" t="s">
        <v>794</v>
      </c>
      <c r="F853" s="5" t="s">
        <v>1004</v>
      </c>
      <c r="G853" s="5" t="s">
        <v>39</v>
      </c>
      <c r="H853" s="5" t="s">
        <v>40</v>
      </c>
      <c r="I853" s="5" t="s">
        <v>796</v>
      </c>
      <c r="J853" s="5" t="n">
        <v>4</v>
      </c>
      <c r="K853" s="5"/>
      <c r="L853" s="6"/>
      <c r="M853" s="6"/>
      <c r="N853" s="6"/>
      <c r="O853" s="6"/>
      <c r="P853" s="5" t="str">
        <f aca="false">IF(M853="","",ROUND(M853*IFERROR(INDEX(Weights!$B$2:$B$4,MATCH(G853,Weights!$A$2:$A$4,0)),0)*IFERROR(INDEX(Weights!$B$7:$B$11,MATCH(E853,Weights!$A$7:$A$11,0)),0)*IFERROR(INDEX(Weights!$B$14:$B$17,MATCH(TEXT(J853,"0"),Weights!$A$14:$A$17,0)),0)/(1+N(N853)/50),1))</f>
        <v/>
      </c>
      <c r="Q853" s="5" t="s">
        <v>42</v>
      </c>
    </row>
    <row r="854" customFormat="false" ht="15" hidden="false" customHeight="false" outlineLevel="0" collapsed="false">
      <c r="A854" s="5" t="n">
        <v>853</v>
      </c>
      <c r="B854" s="5" t="s">
        <v>1011</v>
      </c>
      <c r="C854" s="5" t="s">
        <v>51</v>
      </c>
      <c r="D854" s="5" t="s">
        <v>36</v>
      </c>
      <c r="E854" s="5" t="s">
        <v>794</v>
      </c>
      <c r="F854" s="5" t="s">
        <v>1004</v>
      </c>
      <c r="G854" s="5" t="s">
        <v>39</v>
      </c>
      <c r="H854" s="5" t="s">
        <v>40</v>
      </c>
      <c r="I854" s="5" t="s">
        <v>796</v>
      </c>
      <c r="J854" s="5" t="n">
        <v>4</v>
      </c>
      <c r="K854" s="5"/>
      <c r="L854" s="6"/>
      <c r="M854" s="6"/>
      <c r="N854" s="6"/>
      <c r="O854" s="6"/>
      <c r="P854" s="5" t="str">
        <f aca="false">IF(M854="","",ROUND(M854*IFERROR(INDEX(Weights!$B$2:$B$4,MATCH(G854,Weights!$A$2:$A$4,0)),0)*IFERROR(INDEX(Weights!$B$7:$B$11,MATCH(E854,Weights!$A$7:$A$11,0)),0)*IFERROR(INDEX(Weights!$B$14:$B$17,MATCH(TEXT(J854,"0"),Weights!$A$14:$A$17,0)),0)/(1+N(N854)/50),1))</f>
        <v/>
      </c>
      <c r="Q854" s="5" t="s">
        <v>42</v>
      </c>
    </row>
    <row r="855" customFormat="false" ht="15" hidden="false" customHeight="false" outlineLevel="0" collapsed="false">
      <c r="A855" s="5" t="n">
        <v>854</v>
      </c>
      <c r="B855" s="5" t="s">
        <v>1012</v>
      </c>
      <c r="C855" s="5" t="s">
        <v>51</v>
      </c>
      <c r="D855" s="5" t="s">
        <v>36</v>
      </c>
      <c r="E855" s="5" t="s">
        <v>794</v>
      </c>
      <c r="F855" s="5" t="s">
        <v>1004</v>
      </c>
      <c r="G855" s="5" t="s">
        <v>39</v>
      </c>
      <c r="H855" s="5" t="s">
        <v>40</v>
      </c>
      <c r="I855" s="5" t="s">
        <v>796</v>
      </c>
      <c r="J855" s="5" t="n">
        <v>4</v>
      </c>
      <c r="K855" s="5"/>
      <c r="L855" s="6"/>
      <c r="M855" s="6"/>
      <c r="N855" s="6"/>
      <c r="O855" s="6"/>
      <c r="P855" s="5" t="str">
        <f aca="false">IF(M855="","",ROUND(M855*IFERROR(INDEX(Weights!$B$2:$B$4,MATCH(G855,Weights!$A$2:$A$4,0)),0)*IFERROR(INDEX(Weights!$B$7:$B$11,MATCH(E855,Weights!$A$7:$A$11,0)),0)*IFERROR(INDEX(Weights!$B$14:$B$17,MATCH(TEXT(J855,"0"),Weights!$A$14:$A$17,0)),0)/(1+N(N855)/50),1))</f>
        <v/>
      </c>
      <c r="Q855" s="5" t="s">
        <v>42</v>
      </c>
    </row>
    <row r="856" customFormat="false" ht="15" hidden="false" customHeight="false" outlineLevel="0" collapsed="false">
      <c r="A856" s="5" t="n">
        <v>855</v>
      </c>
      <c r="B856" s="5" t="s">
        <v>1013</v>
      </c>
      <c r="C856" s="5" t="s">
        <v>51</v>
      </c>
      <c r="D856" s="5" t="s">
        <v>36</v>
      </c>
      <c r="E856" s="5" t="s">
        <v>794</v>
      </c>
      <c r="F856" s="5" t="s">
        <v>1004</v>
      </c>
      <c r="G856" s="5" t="s">
        <v>39</v>
      </c>
      <c r="H856" s="5" t="s">
        <v>40</v>
      </c>
      <c r="I856" s="5" t="s">
        <v>796</v>
      </c>
      <c r="J856" s="5" t="n">
        <v>4</v>
      </c>
      <c r="K856" s="5"/>
      <c r="L856" s="6"/>
      <c r="M856" s="6"/>
      <c r="N856" s="6"/>
      <c r="O856" s="6"/>
      <c r="P856" s="5" t="str">
        <f aca="false">IF(M856="","",ROUND(M856*IFERROR(INDEX(Weights!$B$2:$B$4,MATCH(G856,Weights!$A$2:$A$4,0)),0)*IFERROR(INDEX(Weights!$B$7:$B$11,MATCH(E856,Weights!$A$7:$A$11,0)),0)*IFERROR(INDEX(Weights!$B$14:$B$17,MATCH(TEXT(J856,"0"),Weights!$A$14:$A$17,0)),0)/(1+N(N856)/50),1))</f>
        <v/>
      </c>
      <c r="Q856" s="5" t="s">
        <v>42</v>
      </c>
    </row>
    <row r="857" customFormat="false" ht="15" hidden="false" customHeight="false" outlineLevel="0" collapsed="false">
      <c r="A857" s="5" t="n">
        <v>856</v>
      </c>
      <c r="B857" s="5" t="s">
        <v>1014</v>
      </c>
      <c r="C857" s="5" t="s">
        <v>54</v>
      </c>
      <c r="D857" s="5" t="s">
        <v>36</v>
      </c>
      <c r="E857" s="5" t="s">
        <v>794</v>
      </c>
      <c r="F857" s="5" t="s">
        <v>1004</v>
      </c>
      <c r="G857" s="5" t="s">
        <v>39</v>
      </c>
      <c r="H857" s="5" t="s">
        <v>40</v>
      </c>
      <c r="I857" s="5" t="s">
        <v>796</v>
      </c>
      <c r="J857" s="5" t="n">
        <v>4</v>
      </c>
      <c r="K857" s="5"/>
      <c r="L857" s="6"/>
      <c r="M857" s="6"/>
      <c r="N857" s="6"/>
      <c r="O857" s="6"/>
      <c r="P857" s="5" t="str">
        <f aca="false">IF(M857="","",ROUND(M857*IFERROR(INDEX(Weights!$B$2:$B$4,MATCH(G857,Weights!$A$2:$A$4,0)),0)*IFERROR(INDEX(Weights!$B$7:$B$11,MATCH(E857,Weights!$A$7:$A$11,0)),0)*IFERROR(INDEX(Weights!$B$14:$B$17,MATCH(TEXT(J857,"0"),Weights!$A$14:$A$17,0)),0)/(1+N(N857)/50),1))</f>
        <v/>
      </c>
      <c r="Q857" s="5" t="s">
        <v>42</v>
      </c>
    </row>
    <row r="858" customFormat="false" ht="15" hidden="false" customHeight="false" outlineLevel="0" collapsed="false">
      <c r="A858" s="5" t="n">
        <v>857</v>
      </c>
      <c r="B858" s="5" t="s">
        <v>1015</v>
      </c>
      <c r="C858" s="5" t="s">
        <v>54</v>
      </c>
      <c r="D858" s="5" t="s">
        <v>36</v>
      </c>
      <c r="E858" s="5" t="s">
        <v>794</v>
      </c>
      <c r="F858" s="5" t="s">
        <v>1004</v>
      </c>
      <c r="G858" s="5" t="s">
        <v>39</v>
      </c>
      <c r="H858" s="5" t="s">
        <v>40</v>
      </c>
      <c r="I858" s="5" t="s">
        <v>796</v>
      </c>
      <c r="J858" s="5" t="n">
        <v>4</v>
      </c>
      <c r="K858" s="5"/>
      <c r="L858" s="6"/>
      <c r="M858" s="6"/>
      <c r="N858" s="6"/>
      <c r="O858" s="6"/>
      <c r="P858" s="5" t="str">
        <f aca="false">IF(M858="","",ROUND(M858*IFERROR(INDEX(Weights!$B$2:$B$4,MATCH(G858,Weights!$A$2:$A$4,0)),0)*IFERROR(INDEX(Weights!$B$7:$B$11,MATCH(E858,Weights!$A$7:$A$11,0)),0)*IFERROR(INDEX(Weights!$B$14:$B$17,MATCH(TEXT(J858,"0"),Weights!$A$14:$A$17,0)),0)/(1+N(N858)/50),1))</f>
        <v/>
      </c>
      <c r="Q858" s="5" t="s">
        <v>42</v>
      </c>
    </row>
    <row r="859" customFormat="false" ht="15" hidden="false" customHeight="false" outlineLevel="0" collapsed="false">
      <c r="A859" s="5" t="n">
        <v>858</v>
      </c>
      <c r="B859" s="5" t="s">
        <v>1016</v>
      </c>
      <c r="C859" s="5" t="s">
        <v>57</v>
      </c>
      <c r="D859" s="5" t="s">
        <v>36</v>
      </c>
      <c r="E859" s="5" t="s">
        <v>794</v>
      </c>
      <c r="F859" s="5" t="s">
        <v>1004</v>
      </c>
      <c r="G859" s="5" t="s">
        <v>39</v>
      </c>
      <c r="H859" s="5" t="s">
        <v>40</v>
      </c>
      <c r="I859" s="5" t="s">
        <v>796</v>
      </c>
      <c r="J859" s="5" t="n">
        <v>4</v>
      </c>
      <c r="K859" s="5"/>
      <c r="L859" s="6"/>
      <c r="M859" s="6"/>
      <c r="N859" s="6"/>
      <c r="O859" s="6"/>
      <c r="P859" s="5" t="str">
        <f aca="false">IF(M859="","",ROUND(M859*IFERROR(INDEX(Weights!$B$2:$B$4,MATCH(G859,Weights!$A$2:$A$4,0)),0)*IFERROR(INDEX(Weights!$B$7:$B$11,MATCH(E859,Weights!$A$7:$A$11,0)),0)*IFERROR(INDEX(Weights!$B$14:$B$17,MATCH(TEXT(J859,"0"),Weights!$A$14:$A$17,0)),0)/(1+N(N859)/50),1))</f>
        <v/>
      </c>
      <c r="Q859" s="5" t="s">
        <v>42</v>
      </c>
    </row>
    <row r="860" customFormat="false" ht="15" hidden="false" customHeight="false" outlineLevel="0" collapsed="false">
      <c r="A860" s="5" t="n">
        <v>859</v>
      </c>
      <c r="B860" s="5" t="s">
        <v>1017</v>
      </c>
      <c r="C860" s="5" t="s">
        <v>57</v>
      </c>
      <c r="D860" s="5" t="s">
        <v>36</v>
      </c>
      <c r="E860" s="5" t="s">
        <v>794</v>
      </c>
      <c r="F860" s="5" t="s">
        <v>1004</v>
      </c>
      <c r="G860" s="5" t="s">
        <v>39</v>
      </c>
      <c r="H860" s="5" t="s">
        <v>40</v>
      </c>
      <c r="I860" s="5" t="s">
        <v>796</v>
      </c>
      <c r="J860" s="5" t="n">
        <v>4</v>
      </c>
      <c r="K860" s="5"/>
      <c r="L860" s="6"/>
      <c r="M860" s="6"/>
      <c r="N860" s="6"/>
      <c r="O860" s="6"/>
      <c r="P860" s="5" t="str">
        <f aca="false">IF(M860="","",ROUND(M860*IFERROR(INDEX(Weights!$B$2:$B$4,MATCH(G860,Weights!$A$2:$A$4,0)),0)*IFERROR(INDEX(Weights!$B$7:$B$11,MATCH(E860,Weights!$A$7:$A$11,0)),0)*IFERROR(INDEX(Weights!$B$14:$B$17,MATCH(TEXT(J860,"0"),Weights!$A$14:$A$17,0)),0)/(1+N(N860)/50),1))</f>
        <v/>
      </c>
      <c r="Q860" s="5" t="s">
        <v>42</v>
      </c>
    </row>
    <row r="861" customFormat="false" ht="15" hidden="false" customHeight="false" outlineLevel="0" collapsed="false">
      <c r="A861" s="5" t="n">
        <v>860</v>
      </c>
      <c r="B861" s="5" t="s">
        <v>1018</v>
      </c>
      <c r="C861" s="5" t="s">
        <v>57</v>
      </c>
      <c r="D861" s="5" t="s">
        <v>36</v>
      </c>
      <c r="E861" s="5" t="s">
        <v>794</v>
      </c>
      <c r="F861" s="5" t="s">
        <v>1004</v>
      </c>
      <c r="G861" s="5" t="s">
        <v>39</v>
      </c>
      <c r="H861" s="5" t="s">
        <v>40</v>
      </c>
      <c r="I861" s="5" t="s">
        <v>796</v>
      </c>
      <c r="J861" s="5" t="n">
        <v>4</v>
      </c>
      <c r="K861" s="5"/>
      <c r="L861" s="6"/>
      <c r="M861" s="6"/>
      <c r="N861" s="6"/>
      <c r="O861" s="6"/>
      <c r="P861" s="5" t="str">
        <f aca="false">IF(M861="","",ROUND(M861*IFERROR(INDEX(Weights!$B$2:$B$4,MATCH(G861,Weights!$A$2:$A$4,0)),0)*IFERROR(INDEX(Weights!$B$7:$B$11,MATCH(E861,Weights!$A$7:$A$11,0)),0)*IFERROR(INDEX(Weights!$B$14:$B$17,MATCH(TEXT(J861,"0"),Weights!$A$14:$A$17,0)),0)/(1+N(N861)/50),1))</f>
        <v/>
      </c>
      <c r="Q861" s="5" t="s">
        <v>42</v>
      </c>
    </row>
    <row r="862" customFormat="false" ht="15" hidden="false" customHeight="false" outlineLevel="0" collapsed="false">
      <c r="A862" s="5" t="n">
        <v>861</v>
      </c>
      <c r="B862" s="5" t="s">
        <v>1019</v>
      </c>
      <c r="C862" s="5" t="s">
        <v>464</v>
      </c>
      <c r="D862" s="5" t="s">
        <v>36</v>
      </c>
      <c r="E862" s="5" t="s">
        <v>794</v>
      </c>
      <c r="F862" s="5" t="s">
        <v>1004</v>
      </c>
      <c r="G862" s="5" t="s">
        <v>39</v>
      </c>
      <c r="H862" s="5" t="s">
        <v>40</v>
      </c>
      <c r="I862" s="5" t="s">
        <v>796</v>
      </c>
      <c r="J862" s="5" t="n">
        <v>4</v>
      </c>
      <c r="K862" s="5"/>
      <c r="L862" s="6"/>
      <c r="M862" s="6"/>
      <c r="N862" s="6"/>
      <c r="O862" s="6"/>
      <c r="P862" s="5" t="str">
        <f aca="false">IF(M862="","",ROUND(M862*IFERROR(INDEX(Weights!$B$2:$B$4,MATCH(G862,Weights!$A$2:$A$4,0)),0)*IFERROR(INDEX(Weights!$B$7:$B$11,MATCH(E862,Weights!$A$7:$A$11,0)),0)*IFERROR(INDEX(Weights!$B$14:$B$17,MATCH(TEXT(J862,"0"),Weights!$A$14:$A$17,0)),0)/(1+N(N862)/50),1))</f>
        <v/>
      </c>
      <c r="Q862" s="5" t="s">
        <v>42</v>
      </c>
    </row>
    <row r="863" customFormat="false" ht="15" hidden="false" customHeight="false" outlineLevel="0" collapsed="false">
      <c r="A863" s="5" t="n">
        <v>862</v>
      </c>
      <c r="B863" s="5" t="s">
        <v>1020</v>
      </c>
      <c r="C863" s="5" t="s">
        <v>464</v>
      </c>
      <c r="D863" s="5" t="s">
        <v>36</v>
      </c>
      <c r="E863" s="5" t="s">
        <v>794</v>
      </c>
      <c r="F863" s="5" t="s">
        <v>1004</v>
      </c>
      <c r="G863" s="5" t="s">
        <v>39</v>
      </c>
      <c r="H863" s="5" t="s">
        <v>40</v>
      </c>
      <c r="I863" s="5" t="s">
        <v>796</v>
      </c>
      <c r="J863" s="5" t="n">
        <v>4</v>
      </c>
      <c r="K863" s="5"/>
      <c r="L863" s="6"/>
      <c r="M863" s="6"/>
      <c r="N863" s="6"/>
      <c r="O863" s="6"/>
      <c r="P863" s="5" t="str">
        <f aca="false">IF(M863="","",ROUND(M863*IFERROR(INDEX(Weights!$B$2:$B$4,MATCH(G863,Weights!$A$2:$A$4,0)),0)*IFERROR(INDEX(Weights!$B$7:$B$11,MATCH(E863,Weights!$A$7:$A$11,0)),0)*IFERROR(INDEX(Weights!$B$14:$B$17,MATCH(TEXT(J863,"0"),Weights!$A$14:$A$17,0)),0)/(1+N(N863)/50),1))</f>
        <v/>
      </c>
      <c r="Q863" s="5" t="s">
        <v>42</v>
      </c>
    </row>
    <row r="864" customFormat="false" ht="15" hidden="false" customHeight="false" outlineLevel="0" collapsed="false">
      <c r="A864" s="5" t="n">
        <v>863</v>
      </c>
      <c r="B864" s="5" t="s">
        <v>1021</v>
      </c>
      <c r="C864" s="5" t="s">
        <v>464</v>
      </c>
      <c r="D864" s="5" t="s">
        <v>36</v>
      </c>
      <c r="E864" s="5" t="s">
        <v>794</v>
      </c>
      <c r="F864" s="5" t="s">
        <v>1004</v>
      </c>
      <c r="G864" s="5" t="s">
        <v>39</v>
      </c>
      <c r="H864" s="5" t="s">
        <v>40</v>
      </c>
      <c r="I864" s="5" t="s">
        <v>796</v>
      </c>
      <c r="J864" s="5" t="n">
        <v>4</v>
      </c>
      <c r="K864" s="5"/>
      <c r="L864" s="6"/>
      <c r="M864" s="6"/>
      <c r="N864" s="6"/>
      <c r="O864" s="6"/>
      <c r="P864" s="5" t="str">
        <f aca="false">IF(M864="","",ROUND(M864*IFERROR(INDEX(Weights!$B$2:$B$4,MATCH(G864,Weights!$A$2:$A$4,0)),0)*IFERROR(INDEX(Weights!$B$7:$B$11,MATCH(E864,Weights!$A$7:$A$11,0)),0)*IFERROR(INDEX(Weights!$B$14:$B$17,MATCH(TEXT(J864,"0"),Weights!$A$14:$A$17,0)),0)/(1+N(N864)/50),1))</f>
        <v/>
      </c>
      <c r="Q864" s="5" t="s">
        <v>42</v>
      </c>
    </row>
    <row r="865" customFormat="false" ht="15" hidden="false" customHeight="false" outlineLevel="0" collapsed="false">
      <c r="A865" s="5" t="n">
        <v>864</v>
      </c>
      <c r="B865" s="5" t="s">
        <v>1022</v>
      </c>
      <c r="C865" s="5" t="s">
        <v>456</v>
      </c>
      <c r="D865" s="5" t="s">
        <v>36</v>
      </c>
      <c r="E865" s="5" t="s">
        <v>794</v>
      </c>
      <c r="F865" s="5" t="s">
        <v>1004</v>
      </c>
      <c r="G865" s="5" t="s">
        <v>39</v>
      </c>
      <c r="H865" s="5" t="s">
        <v>40</v>
      </c>
      <c r="I865" s="5" t="s">
        <v>796</v>
      </c>
      <c r="J865" s="5" t="n">
        <v>4</v>
      </c>
      <c r="K865" s="5"/>
      <c r="L865" s="6"/>
      <c r="M865" s="6"/>
      <c r="N865" s="6"/>
      <c r="O865" s="6"/>
      <c r="P865" s="5" t="str">
        <f aca="false">IF(M865="","",ROUND(M865*IFERROR(INDEX(Weights!$B$2:$B$4,MATCH(G865,Weights!$A$2:$A$4,0)),0)*IFERROR(INDEX(Weights!$B$7:$B$11,MATCH(E865,Weights!$A$7:$A$11,0)),0)*IFERROR(INDEX(Weights!$B$14:$B$17,MATCH(TEXT(J865,"0"),Weights!$A$14:$A$17,0)),0)/(1+N(N865)/50),1))</f>
        <v/>
      </c>
      <c r="Q865" s="5" t="s">
        <v>42</v>
      </c>
    </row>
    <row r="866" customFormat="false" ht="15" hidden="false" customHeight="false" outlineLevel="0" collapsed="false">
      <c r="A866" s="5" t="n">
        <v>865</v>
      </c>
      <c r="B866" s="5" t="s">
        <v>1023</v>
      </c>
      <c r="C866" s="5" t="s">
        <v>456</v>
      </c>
      <c r="D866" s="5" t="s">
        <v>36</v>
      </c>
      <c r="E866" s="5" t="s">
        <v>794</v>
      </c>
      <c r="F866" s="5" t="s">
        <v>1004</v>
      </c>
      <c r="G866" s="5" t="s">
        <v>39</v>
      </c>
      <c r="H866" s="5" t="s">
        <v>40</v>
      </c>
      <c r="I866" s="5" t="s">
        <v>796</v>
      </c>
      <c r="J866" s="5" t="n">
        <v>4</v>
      </c>
      <c r="K866" s="5"/>
      <c r="L866" s="6"/>
      <c r="M866" s="6"/>
      <c r="N866" s="6"/>
      <c r="O866" s="6"/>
      <c r="P866" s="5" t="str">
        <f aca="false">IF(M866="","",ROUND(M866*IFERROR(INDEX(Weights!$B$2:$B$4,MATCH(G866,Weights!$A$2:$A$4,0)),0)*IFERROR(INDEX(Weights!$B$7:$B$11,MATCH(E866,Weights!$A$7:$A$11,0)),0)*IFERROR(INDEX(Weights!$B$14:$B$17,MATCH(TEXT(J866,"0"),Weights!$A$14:$A$17,0)),0)/(1+N(N866)/50),1))</f>
        <v/>
      </c>
      <c r="Q866" s="5" t="s">
        <v>42</v>
      </c>
    </row>
    <row r="867" customFormat="false" ht="15" hidden="false" customHeight="false" outlineLevel="0" collapsed="false">
      <c r="A867" s="5" t="n">
        <v>866</v>
      </c>
      <c r="B867" s="5" t="s">
        <v>1024</v>
      </c>
      <c r="C867" s="5" t="s">
        <v>64</v>
      </c>
      <c r="D867" s="5" t="s">
        <v>36</v>
      </c>
      <c r="E867" s="5" t="s">
        <v>794</v>
      </c>
      <c r="F867" s="5" t="s">
        <v>1004</v>
      </c>
      <c r="G867" s="5" t="s">
        <v>39</v>
      </c>
      <c r="H867" s="5" t="s">
        <v>40</v>
      </c>
      <c r="I867" s="5" t="s">
        <v>796</v>
      </c>
      <c r="J867" s="5" t="n">
        <v>4</v>
      </c>
      <c r="K867" s="5"/>
      <c r="L867" s="6"/>
      <c r="M867" s="6"/>
      <c r="N867" s="6"/>
      <c r="O867" s="6"/>
      <c r="P867" s="5" t="str">
        <f aca="false">IF(M867="","",ROUND(M867*IFERROR(INDEX(Weights!$B$2:$B$4,MATCH(G867,Weights!$A$2:$A$4,0)),0)*IFERROR(INDEX(Weights!$B$7:$B$11,MATCH(E867,Weights!$A$7:$A$11,0)),0)*IFERROR(INDEX(Weights!$B$14:$B$17,MATCH(TEXT(J867,"0"),Weights!$A$14:$A$17,0)),0)/(1+N(N867)/50),1))</f>
        <v/>
      </c>
      <c r="Q867" s="5" t="s">
        <v>42</v>
      </c>
    </row>
    <row r="868" customFormat="false" ht="15" hidden="false" customHeight="false" outlineLevel="0" collapsed="false">
      <c r="A868" s="5" t="n">
        <v>867</v>
      </c>
      <c r="B868" s="5" t="s">
        <v>1025</v>
      </c>
      <c r="C868" s="5" t="s">
        <v>64</v>
      </c>
      <c r="D868" s="5" t="s">
        <v>36</v>
      </c>
      <c r="E868" s="5" t="s">
        <v>794</v>
      </c>
      <c r="F868" s="5" t="s">
        <v>1004</v>
      </c>
      <c r="G868" s="5" t="s">
        <v>39</v>
      </c>
      <c r="H868" s="5" t="s">
        <v>40</v>
      </c>
      <c r="I868" s="5" t="s">
        <v>796</v>
      </c>
      <c r="J868" s="5" t="n">
        <v>4</v>
      </c>
      <c r="K868" s="5"/>
      <c r="L868" s="6"/>
      <c r="M868" s="6"/>
      <c r="N868" s="6"/>
      <c r="O868" s="6"/>
      <c r="P868" s="5" t="str">
        <f aca="false">IF(M868="","",ROUND(M868*IFERROR(INDEX(Weights!$B$2:$B$4,MATCH(G868,Weights!$A$2:$A$4,0)),0)*IFERROR(INDEX(Weights!$B$7:$B$11,MATCH(E868,Weights!$A$7:$A$11,0)),0)*IFERROR(INDEX(Weights!$B$14:$B$17,MATCH(TEXT(J868,"0"),Weights!$A$14:$A$17,0)),0)/(1+N(N868)/50),1))</f>
        <v/>
      </c>
      <c r="Q868" s="5" t="s">
        <v>42</v>
      </c>
    </row>
    <row r="869" customFormat="false" ht="15" hidden="false" customHeight="false" outlineLevel="0" collapsed="false">
      <c r="A869" s="5" t="n">
        <v>868</v>
      </c>
      <c r="B869" s="5" t="s">
        <v>1026</v>
      </c>
      <c r="C869" s="5" t="s">
        <v>61</v>
      </c>
      <c r="D869" s="5" t="s">
        <v>36</v>
      </c>
      <c r="E869" s="5" t="s">
        <v>794</v>
      </c>
      <c r="F869" s="5" t="s">
        <v>1004</v>
      </c>
      <c r="G869" s="5" t="s">
        <v>39</v>
      </c>
      <c r="H869" s="5" t="s">
        <v>40</v>
      </c>
      <c r="I869" s="5" t="s">
        <v>796</v>
      </c>
      <c r="J869" s="5" t="n">
        <v>4</v>
      </c>
      <c r="K869" s="5"/>
      <c r="L869" s="6"/>
      <c r="M869" s="6"/>
      <c r="N869" s="6"/>
      <c r="O869" s="6"/>
      <c r="P869" s="5" t="str">
        <f aca="false">IF(M869="","",ROUND(M869*IFERROR(INDEX(Weights!$B$2:$B$4,MATCH(G869,Weights!$A$2:$A$4,0)),0)*IFERROR(INDEX(Weights!$B$7:$B$11,MATCH(E869,Weights!$A$7:$A$11,0)),0)*IFERROR(INDEX(Weights!$B$14:$B$17,MATCH(TEXT(J869,"0"),Weights!$A$14:$A$17,0)),0)/(1+N(N869)/50),1))</f>
        <v/>
      </c>
      <c r="Q869" s="5" t="s">
        <v>42</v>
      </c>
    </row>
    <row r="870" customFormat="false" ht="15" hidden="false" customHeight="false" outlineLevel="0" collapsed="false">
      <c r="A870" s="5" t="n">
        <v>869</v>
      </c>
      <c r="B870" s="5" t="s">
        <v>1027</v>
      </c>
      <c r="C870" s="5" t="s">
        <v>66</v>
      </c>
      <c r="D870" s="5" t="s">
        <v>36</v>
      </c>
      <c r="E870" s="5" t="s">
        <v>794</v>
      </c>
      <c r="F870" s="5" t="s">
        <v>1004</v>
      </c>
      <c r="G870" s="5" t="s">
        <v>39</v>
      </c>
      <c r="H870" s="5" t="s">
        <v>40</v>
      </c>
      <c r="I870" s="5" t="s">
        <v>796</v>
      </c>
      <c r="J870" s="5" t="n">
        <v>4</v>
      </c>
      <c r="K870" s="5"/>
      <c r="L870" s="6"/>
      <c r="M870" s="6"/>
      <c r="N870" s="6"/>
      <c r="O870" s="6"/>
      <c r="P870" s="5" t="str">
        <f aca="false">IF(M870="","",ROUND(M870*IFERROR(INDEX(Weights!$B$2:$B$4,MATCH(G870,Weights!$A$2:$A$4,0)),0)*IFERROR(INDEX(Weights!$B$7:$B$11,MATCH(E870,Weights!$A$7:$A$11,0)),0)*IFERROR(INDEX(Weights!$B$14:$B$17,MATCH(TEXT(J870,"0"),Weights!$A$14:$A$17,0)),0)/(1+N(N870)/50),1))</f>
        <v/>
      </c>
      <c r="Q870" s="5" t="s">
        <v>42</v>
      </c>
    </row>
    <row r="871" customFormat="false" ht="15" hidden="false" customHeight="false" outlineLevel="0" collapsed="false">
      <c r="A871" s="5" t="n">
        <v>870</v>
      </c>
      <c r="B871" s="5" t="s">
        <v>1028</v>
      </c>
      <c r="C871" s="5" t="s">
        <v>69</v>
      </c>
      <c r="D871" s="5" t="s">
        <v>36</v>
      </c>
      <c r="E871" s="5" t="s">
        <v>794</v>
      </c>
      <c r="F871" s="5" t="s">
        <v>1004</v>
      </c>
      <c r="G871" s="5" t="s">
        <v>39</v>
      </c>
      <c r="H871" s="5" t="s">
        <v>40</v>
      </c>
      <c r="I871" s="5" t="s">
        <v>796</v>
      </c>
      <c r="J871" s="5" t="n">
        <v>4</v>
      </c>
      <c r="K871" s="5"/>
      <c r="L871" s="6"/>
      <c r="M871" s="6"/>
      <c r="N871" s="6"/>
      <c r="O871" s="6"/>
      <c r="P871" s="5" t="str">
        <f aca="false">IF(M871="","",ROUND(M871*IFERROR(INDEX(Weights!$B$2:$B$4,MATCH(G871,Weights!$A$2:$A$4,0)),0)*IFERROR(INDEX(Weights!$B$7:$B$11,MATCH(E871,Weights!$A$7:$A$11,0)),0)*IFERROR(INDEX(Weights!$B$14:$B$17,MATCH(TEXT(J871,"0"),Weights!$A$14:$A$17,0)),0)/(1+N(N871)/50),1))</f>
        <v/>
      </c>
      <c r="Q871" s="5" t="s">
        <v>42</v>
      </c>
    </row>
    <row r="872" customFormat="false" ht="15" hidden="false" customHeight="false" outlineLevel="0" collapsed="false">
      <c r="A872" s="5" t="n">
        <v>871</v>
      </c>
      <c r="B872" s="5" t="s">
        <v>1029</v>
      </c>
      <c r="C872" s="5" t="s">
        <v>35</v>
      </c>
      <c r="D872" s="5" t="s">
        <v>36</v>
      </c>
      <c r="E872" s="5" t="s">
        <v>794</v>
      </c>
      <c r="F872" s="5" t="s">
        <v>1030</v>
      </c>
      <c r="G872" s="5" t="s">
        <v>39</v>
      </c>
      <c r="H872" s="5" t="s">
        <v>40</v>
      </c>
      <c r="I872" s="5" t="s">
        <v>796</v>
      </c>
      <c r="J872" s="5" t="n">
        <v>4</v>
      </c>
      <c r="K872" s="5"/>
      <c r="L872" s="6"/>
      <c r="M872" s="6"/>
      <c r="N872" s="6"/>
      <c r="O872" s="6"/>
      <c r="P872" s="5" t="str">
        <f aca="false">IF(M872="","",ROUND(M872*IFERROR(INDEX(Weights!$B$2:$B$4,MATCH(G872,Weights!$A$2:$A$4,0)),0)*IFERROR(INDEX(Weights!$B$7:$B$11,MATCH(E872,Weights!$A$7:$A$11,0)),0)*IFERROR(INDEX(Weights!$B$14:$B$17,MATCH(TEXT(J872,"0"),Weights!$A$14:$A$17,0)),0)/(1+N(N872)/50),1))</f>
        <v/>
      </c>
      <c r="Q872" s="5" t="s">
        <v>42</v>
      </c>
    </row>
    <row r="873" customFormat="false" ht="15" hidden="false" customHeight="false" outlineLevel="0" collapsed="false">
      <c r="A873" s="5" t="n">
        <v>872</v>
      </c>
      <c r="B873" s="5" t="s">
        <v>1031</v>
      </c>
      <c r="C873" s="5" t="s">
        <v>35</v>
      </c>
      <c r="D873" s="5" t="s">
        <v>36</v>
      </c>
      <c r="E873" s="5" t="s">
        <v>794</v>
      </c>
      <c r="F873" s="5" t="s">
        <v>1030</v>
      </c>
      <c r="G873" s="5" t="s">
        <v>39</v>
      </c>
      <c r="H873" s="5" t="s">
        <v>40</v>
      </c>
      <c r="I873" s="5" t="s">
        <v>796</v>
      </c>
      <c r="J873" s="5" t="n">
        <v>4</v>
      </c>
      <c r="K873" s="5"/>
      <c r="L873" s="6"/>
      <c r="M873" s="6"/>
      <c r="N873" s="6"/>
      <c r="O873" s="6"/>
      <c r="P873" s="5" t="str">
        <f aca="false">IF(M873="","",ROUND(M873*IFERROR(INDEX(Weights!$B$2:$B$4,MATCH(G873,Weights!$A$2:$A$4,0)),0)*IFERROR(INDEX(Weights!$B$7:$B$11,MATCH(E873,Weights!$A$7:$A$11,0)),0)*IFERROR(INDEX(Weights!$B$14:$B$17,MATCH(TEXT(J873,"0"),Weights!$A$14:$A$17,0)),0)/(1+N(N873)/50),1))</f>
        <v/>
      </c>
      <c r="Q873" s="5" t="s">
        <v>42</v>
      </c>
    </row>
    <row r="874" customFormat="false" ht="15" hidden="false" customHeight="false" outlineLevel="0" collapsed="false">
      <c r="A874" s="5" t="n">
        <v>873</v>
      </c>
      <c r="B874" s="5" t="s">
        <v>1032</v>
      </c>
      <c r="C874" s="5" t="s">
        <v>35</v>
      </c>
      <c r="D874" s="5" t="s">
        <v>36</v>
      </c>
      <c r="E874" s="5" t="s">
        <v>794</v>
      </c>
      <c r="F874" s="5" t="s">
        <v>1030</v>
      </c>
      <c r="G874" s="5" t="s">
        <v>39</v>
      </c>
      <c r="H874" s="5" t="s">
        <v>40</v>
      </c>
      <c r="I874" s="5" t="s">
        <v>796</v>
      </c>
      <c r="J874" s="5" t="n">
        <v>4</v>
      </c>
      <c r="K874" s="5"/>
      <c r="L874" s="6"/>
      <c r="M874" s="6"/>
      <c r="N874" s="6"/>
      <c r="O874" s="6"/>
      <c r="P874" s="5" t="str">
        <f aca="false">IF(M874="","",ROUND(M874*IFERROR(INDEX(Weights!$B$2:$B$4,MATCH(G874,Weights!$A$2:$A$4,0)),0)*IFERROR(INDEX(Weights!$B$7:$B$11,MATCH(E874,Weights!$A$7:$A$11,0)),0)*IFERROR(INDEX(Weights!$B$14:$B$17,MATCH(TEXT(J874,"0"),Weights!$A$14:$A$17,0)),0)/(1+N(N874)/50),1))</f>
        <v/>
      </c>
      <c r="Q874" s="5" t="s">
        <v>42</v>
      </c>
    </row>
    <row r="875" customFormat="false" ht="15" hidden="false" customHeight="false" outlineLevel="0" collapsed="false">
      <c r="A875" s="5" t="n">
        <v>874</v>
      </c>
      <c r="B875" s="5" t="s">
        <v>1033</v>
      </c>
      <c r="C875" s="5" t="s">
        <v>47</v>
      </c>
      <c r="D875" s="5" t="s">
        <v>36</v>
      </c>
      <c r="E875" s="5" t="s">
        <v>794</v>
      </c>
      <c r="F875" s="5" t="s">
        <v>1030</v>
      </c>
      <c r="G875" s="5" t="s">
        <v>39</v>
      </c>
      <c r="H875" s="5" t="s">
        <v>40</v>
      </c>
      <c r="I875" s="5" t="s">
        <v>796</v>
      </c>
      <c r="J875" s="5" t="n">
        <v>4</v>
      </c>
      <c r="K875" s="5"/>
      <c r="L875" s="6"/>
      <c r="M875" s="6"/>
      <c r="N875" s="6"/>
      <c r="O875" s="6"/>
      <c r="P875" s="5" t="str">
        <f aca="false">IF(M875="","",ROUND(M875*IFERROR(INDEX(Weights!$B$2:$B$4,MATCH(G875,Weights!$A$2:$A$4,0)),0)*IFERROR(INDEX(Weights!$B$7:$B$11,MATCH(E875,Weights!$A$7:$A$11,0)),0)*IFERROR(INDEX(Weights!$B$14:$B$17,MATCH(TEXT(J875,"0"),Weights!$A$14:$A$17,0)),0)/(1+N(N875)/50),1))</f>
        <v/>
      </c>
      <c r="Q875" s="5" t="s">
        <v>42</v>
      </c>
    </row>
    <row r="876" customFormat="false" ht="15" hidden="false" customHeight="false" outlineLevel="0" collapsed="false">
      <c r="A876" s="5" t="n">
        <v>875</v>
      </c>
      <c r="B876" s="5" t="s">
        <v>1034</v>
      </c>
      <c r="C876" s="5" t="s">
        <v>47</v>
      </c>
      <c r="D876" s="5" t="s">
        <v>36</v>
      </c>
      <c r="E876" s="5" t="s">
        <v>794</v>
      </c>
      <c r="F876" s="5" t="s">
        <v>1030</v>
      </c>
      <c r="G876" s="5" t="s">
        <v>39</v>
      </c>
      <c r="H876" s="5" t="s">
        <v>40</v>
      </c>
      <c r="I876" s="5" t="s">
        <v>796</v>
      </c>
      <c r="J876" s="5" t="n">
        <v>4</v>
      </c>
      <c r="K876" s="5"/>
      <c r="L876" s="6"/>
      <c r="M876" s="6"/>
      <c r="N876" s="6"/>
      <c r="O876" s="6"/>
      <c r="P876" s="5" t="str">
        <f aca="false">IF(M876="","",ROUND(M876*IFERROR(INDEX(Weights!$B$2:$B$4,MATCH(G876,Weights!$A$2:$A$4,0)),0)*IFERROR(INDEX(Weights!$B$7:$B$11,MATCH(E876,Weights!$A$7:$A$11,0)),0)*IFERROR(INDEX(Weights!$B$14:$B$17,MATCH(TEXT(J876,"0"),Weights!$A$14:$A$17,0)),0)/(1+N(N876)/50),1))</f>
        <v/>
      </c>
      <c r="Q876" s="5" t="s">
        <v>42</v>
      </c>
    </row>
    <row r="877" customFormat="false" ht="15" hidden="false" customHeight="false" outlineLevel="0" collapsed="false">
      <c r="A877" s="5" t="n">
        <v>876</v>
      </c>
      <c r="B877" s="5" t="s">
        <v>1035</v>
      </c>
      <c r="C877" s="5" t="s">
        <v>47</v>
      </c>
      <c r="D877" s="5" t="s">
        <v>36</v>
      </c>
      <c r="E877" s="5" t="s">
        <v>794</v>
      </c>
      <c r="F877" s="5" t="s">
        <v>1030</v>
      </c>
      <c r="G877" s="5" t="s">
        <v>39</v>
      </c>
      <c r="H877" s="5" t="s">
        <v>40</v>
      </c>
      <c r="I877" s="5" t="s">
        <v>796</v>
      </c>
      <c r="J877" s="5" t="n">
        <v>4</v>
      </c>
      <c r="K877" s="5"/>
      <c r="L877" s="6"/>
      <c r="M877" s="6"/>
      <c r="N877" s="6"/>
      <c r="O877" s="6"/>
      <c r="P877" s="5" t="str">
        <f aca="false">IF(M877="","",ROUND(M877*IFERROR(INDEX(Weights!$B$2:$B$4,MATCH(G877,Weights!$A$2:$A$4,0)),0)*IFERROR(INDEX(Weights!$B$7:$B$11,MATCH(E877,Weights!$A$7:$A$11,0)),0)*IFERROR(INDEX(Weights!$B$14:$B$17,MATCH(TEXT(J877,"0"),Weights!$A$14:$A$17,0)),0)/(1+N(N877)/50),1))</f>
        <v/>
      </c>
      <c r="Q877" s="5" t="s">
        <v>42</v>
      </c>
    </row>
    <row r="878" customFormat="false" ht="15" hidden="false" customHeight="false" outlineLevel="0" collapsed="false">
      <c r="A878" s="5" t="n">
        <v>877</v>
      </c>
      <c r="B878" s="5" t="s">
        <v>1036</v>
      </c>
      <c r="C878" s="5" t="s">
        <v>47</v>
      </c>
      <c r="D878" s="5" t="s">
        <v>36</v>
      </c>
      <c r="E878" s="5" t="s">
        <v>794</v>
      </c>
      <c r="F878" s="5" t="s">
        <v>1030</v>
      </c>
      <c r="G878" s="5" t="s">
        <v>39</v>
      </c>
      <c r="H878" s="5" t="s">
        <v>40</v>
      </c>
      <c r="I878" s="5" t="s">
        <v>796</v>
      </c>
      <c r="J878" s="5" t="n">
        <v>4</v>
      </c>
      <c r="K878" s="5"/>
      <c r="L878" s="6"/>
      <c r="M878" s="6"/>
      <c r="N878" s="6"/>
      <c r="O878" s="6"/>
      <c r="P878" s="5" t="str">
        <f aca="false">IF(M878="","",ROUND(M878*IFERROR(INDEX(Weights!$B$2:$B$4,MATCH(G878,Weights!$A$2:$A$4,0)),0)*IFERROR(INDEX(Weights!$B$7:$B$11,MATCH(E878,Weights!$A$7:$A$11,0)),0)*IFERROR(INDEX(Weights!$B$14:$B$17,MATCH(TEXT(J878,"0"),Weights!$A$14:$A$17,0)),0)/(1+N(N878)/50),1))</f>
        <v/>
      </c>
      <c r="Q878" s="5" t="s">
        <v>42</v>
      </c>
    </row>
    <row r="879" customFormat="false" ht="15" hidden="false" customHeight="false" outlineLevel="0" collapsed="false">
      <c r="A879" s="5" t="n">
        <v>878</v>
      </c>
      <c r="B879" s="5" t="s">
        <v>1037</v>
      </c>
      <c r="C879" s="5" t="s">
        <v>51</v>
      </c>
      <c r="D879" s="5" t="s">
        <v>36</v>
      </c>
      <c r="E879" s="5" t="s">
        <v>794</v>
      </c>
      <c r="F879" s="5" t="s">
        <v>1030</v>
      </c>
      <c r="G879" s="5" t="s">
        <v>39</v>
      </c>
      <c r="H879" s="5" t="s">
        <v>40</v>
      </c>
      <c r="I879" s="5" t="s">
        <v>796</v>
      </c>
      <c r="J879" s="5" t="n">
        <v>4</v>
      </c>
      <c r="K879" s="5"/>
      <c r="L879" s="6"/>
      <c r="M879" s="6"/>
      <c r="N879" s="6"/>
      <c r="O879" s="6"/>
      <c r="P879" s="5" t="str">
        <f aca="false">IF(M879="","",ROUND(M879*IFERROR(INDEX(Weights!$B$2:$B$4,MATCH(G879,Weights!$A$2:$A$4,0)),0)*IFERROR(INDEX(Weights!$B$7:$B$11,MATCH(E879,Weights!$A$7:$A$11,0)),0)*IFERROR(INDEX(Weights!$B$14:$B$17,MATCH(TEXT(J879,"0"),Weights!$A$14:$A$17,0)),0)/(1+N(N879)/50),1))</f>
        <v/>
      </c>
      <c r="Q879" s="5" t="s">
        <v>42</v>
      </c>
    </row>
    <row r="880" customFormat="false" ht="15" hidden="false" customHeight="false" outlineLevel="0" collapsed="false">
      <c r="A880" s="5" t="n">
        <v>879</v>
      </c>
      <c r="B880" s="5" t="s">
        <v>1038</v>
      </c>
      <c r="C880" s="5" t="s">
        <v>51</v>
      </c>
      <c r="D880" s="5" t="s">
        <v>36</v>
      </c>
      <c r="E880" s="5" t="s">
        <v>794</v>
      </c>
      <c r="F880" s="5" t="s">
        <v>1030</v>
      </c>
      <c r="G880" s="5" t="s">
        <v>39</v>
      </c>
      <c r="H880" s="5" t="s">
        <v>40</v>
      </c>
      <c r="I880" s="5" t="s">
        <v>796</v>
      </c>
      <c r="J880" s="5" t="n">
        <v>4</v>
      </c>
      <c r="K880" s="5"/>
      <c r="L880" s="6"/>
      <c r="M880" s="6"/>
      <c r="N880" s="6"/>
      <c r="O880" s="6"/>
      <c r="P880" s="5" t="str">
        <f aca="false">IF(M880="","",ROUND(M880*IFERROR(INDEX(Weights!$B$2:$B$4,MATCH(G880,Weights!$A$2:$A$4,0)),0)*IFERROR(INDEX(Weights!$B$7:$B$11,MATCH(E880,Weights!$A$7:$A$11,0)),0)*IFERROR(INDEX(Weights!$B$14:$B$17,MATCH(TEXT(J880,"0"),Weights!$A$14:$A$17,0)),0)/(1+N(N880)/50),1))</f>
        <v/>
      </c>
      <c r="Q880" s="5" t="s">
        <v>42</v>
      </c>
    </row>
    <row r="881" customFormat="false" ht="15" hidden="false" customHeight="false" outlineLevel="0" collapsed="false">
      <c r="A881" s="5" t="n">
        <v>880</v>
      </c>
      <c r="B881" s="5" t="s">
        <v>1039</v>
      </c>
      <c r="C881" s="5" t="s">
        <v>51</v>
      </c>
      <c r="D881" s="5" t="s">
        <v>36</v>
      </c>
      <c r="E881" s="5" t="s">
        <v>794</v>
      </c>
      <c r="F881" s="5" t="s">
        <v>1030</v>
      </c>
      <c r="G881" s="5" t="s">
        <v>39</v>
      </c>
      <c r="H881" s="5" t="s">
        <v>40</v>
      </c>
      <c r="I881" s="5" t="s">
        <v>796</v>
      </c>
      <c r="J881" s="5" t="n">
        <v>4</v>
      </c>
      <c r="K881" s="5"/>
      <c r="L881" s="6"/>
      <c r="M881" s="6"/>
      <c r="N881" s="6"/>
      <c r="O881" s="6"/>
      <c r="P881" s="5" t="str">
        <f aca="false">IF(M881="","",ROUND(M881*IFERROR(INDEX(Weights!$B$2:$B$4,MATCH(G881,Weights!$A$2:$A$4,0)),0)*IFERROR(INDEX(Weights!$B$7:$B$11,MATCH(E881,Weights!$A$7:$A$11,0)),0)*IFERROR(INDEX(Weights!$B$14:$B$17,MATCH(TEXT(J881,"0"),Weights!$A$14:$A$17,0)),0)/(1+N(N881)/50),1))</f>
        <v/>
      </c>
      <c r="Q881" s="5" t="s">
        <v>42</v>
      </c>
    </row>
    <row r="882" customFormat="false" ht="15" hidden="false" customHeight="false" outlineLevel="0" collapsed="false">
      <c r="A882" s="5" t="n">
        <v>881</v>
      </c>
      <c r="B882" s="5" t="s">
        <v>1040</v>
      </c>
      <c r="C882" s="5" t="s">
        <v>54</v>
      </c>
      <c r="D882" s="5" t="s">
        <v>36</v>
      </c>
      <c r="E882" s="5" t="s">
        <v>794</v>
      </c>
      <c r="F882" s="5" t="s">
        <v>1030</v>
      </c>
      <c r="G882" s="5" t="s">
        <v>39</v>
      </c>
      <c r="H882" s="5" t="s">
        <v>40</v>
      </c>
      <c r="I882" s="5" t="s">
        <v>796</v>
      </c>
      <c r="J882" s="5" t="n">
        <v>4</v>
      </c>
      <c r="K882" s="5"/>
      <c r="L882" s="6"/>
      <c r="M882" s="6"/>
      <c r="N882" s="6"/>
      <c r="O882" s="6"/>
      <c r="P882" s="5" t="str">
        <f aca="false">IF(M882="","",ROUND(M882*IFERROR(INDEX(Weights!$B$2:$B$4,MATCH(G882,Weights!$A$2:$A$4,0)),0)*IFERROR(INDEX(Weights!$B$7:$B$11,MATCH(E882,Weights!$A$7:$A$11,0)),0)*IFERROR(INDEX(Weights!$B$14:$B$17,MATCH(TEXT(J882,"0"),Weights!$A$14:$A$17,0)),0)/(1+N(N882)/50),1))</f>
        <v/>
      </c>
      <c r="Q882" s="5" t="s">
        <v>42</v>
      </c>
    </row>
    <row r="883" customFormat="false" ht="15" hidden="false" customHeight="false" outlineLevel="0" collapsed="false">
      <c r="A883" s="5" t="n">
        <v>882</v>
      </c>
      <c r="B883" s="5" t="s">
        <v>1041</v>
      </c>
      <c r="C883" s="5" t="s">
        <v>54</v>
      </c>
      <c r="D883" s="5" t="s">
        <v>36</v>
      </c>
      <c r="E883" s="5" t="s">
        <v>794</v>
      </c>
      <c r="F883" s="5" t="s">
        <v>1030</v>
      </c>
      <c r="G883" s="5" t="s">
        <v>39</v>
      </c>
      <c r="H883" s="5" t="s">
        <v>40</v>
      </c>
      <c r="I883" s="5" t="s">
        <v>796</v>
      </c>
      <c r="J883" s="5" t="n">
        <v>4</v>
      </c>
      <c r="K883" s="5"/>
      <c r="L883" s="6"/>
      <c r="M883" s="6"/>
      <c r="N883" s="6"/>
      <c r="O883" s="6"/>
      <c r="P883" s="5" t="str">
        <f aca="false">IF(M883="","",ROUND(M883*IFERROR(INDEX(Weights!$B$2:$B$4,MATCH(G883,Weights!$A$2:$A$4,0)),0)*IFERROR(INDEX(Weights!$B$7:$B$11,MATCH(E883,Weights!$A$7:$A$11,0)),0)*IFERROR(INDEX(Weights!$B$14:$B$17,MATCH(TEXT(J883,"0"),Weights!$A$14:$A$17,0)),0)/(1+N(N883)/50),1))</f>
        <v/>
      </c>
      <c r="Q883" s="5" t="s">
        <v>42</v>
      </c>
    </row>
    <row r="884" customFormat="false" ht="15" hidden="false" customHeight="false" outlineLevel="0" collapsed="false">
      <c r="A884" s="5" t="n">
        <v>883</v>
      </c>
      <c r="B884" s="5" t="s">
        <v>1042</v>
      </c>
      <c r="C884" s="5" t="s">
        <v>57</v>
      </c>
      <c r="D884" s="5" t="s">
        <v>36</v>
      </c>
      <c r="E884" s="5" t="s">
        <v>794</v>
      </c>
      <c r="F884" s="5" t="s">
        <v>1030</v>
      </c>
      <c r="G884" s="5" t="s">
        <v>39</v>
      </c>
      <c r="H884" s="5" t="s">
        <v>40</v>
      </c>
      <c r="I884" s="5" t="s">
        <v>796</v>
      </c>
      <c r="J884" s="5" t="n">
        <v>4</v>
      </c>
      <c r="K884" s="5"/>
      <c r="L884" s="6"/>
      <c r="M884" s="6"/>
      <c r="N884" s="6"/>
      <c r="O884" s="6"/>
      <c r="P884" s="5" t="str">
        <f aca="false">IF(M884="","",ROUND(M884*IFERROR(INDEX(Weights!$B$2:$B$4,MATCH(G884,Weights!$A$2:$A$4,0)),0)*IFERROR(INDEX(Weights!$B$7:$B$11,MATCH(E884,Weights!$A$7:$A$11,0)),0)*IFERROR(INDEX(Weights!$B$14:$B$17,MATCH(TEXT(J884,"0"),Weights!$A$14:$A$17,0)),0)/(1+N(N884)/50),1))</f>
        <v/>
      </c>
      <c r="Q884" s="5" t="s">
        <v>42</v>
      </c>
    </row>
    <row r="885" customFormat="false" ht="15" hidden="false" customHeight="false" outlineLevel="0" collapsed="false">
      <c r="A885" s="5" t="n">
        <v>884</v>
      </c>
      <c r="B885" s="5" t="s">
        <v>1043</v>
      </c>
      <c r="C885" s="5" t="s">
        <v>57</v>
      </c>
      <c r="D885" s="5" t="s">
        <v>36</v>
      </c>
      <c r="E885" s="5" t="s">
        <v>794</v>
      </c>
      <c r="F885" s="5" t="s">
        <v>1030</v>
      </c>
      <c r="G885" s="5" t="s">
        <v>39</v>
      </c>
      <c r="H885" s="5" t="s">
        <v>40</v>
      </c>
      <c r="I885" s="5" t="s">
        <v>796</v>
      </c>
      <c r="J885" s="5" t="n">
        <v>4</v>
      </c>
      <c r="K885" s="5"/>
      <c r="L885" s="6"/>
      <c r="M885" s="6"/>
      <c r="N885" s="6"/>
      <c r="O885" s="6"/>
      <c r="P885" s="5" t="str">
        <f aca="false">IF(M885="","",ROUND(M885*IFERROR(INDEX(Weights!$B$2:$B$4,MATCH(G885,Weights!$A$2:$A$4,0)),0)*IFERROR(INDEX(Weights!$B$7:$B$11,MATCH(E885,Weights!$A$7:$A$11,0)),0)*IFERROR(INDEX(Weights!$B$14:$B$17,MATCH(TEXT(J885,"0"),Weights!$A$14:$A$17,0)),0)/(1+N(N885)/50),1))</f>
        <v/>
      </c>
      <c r="Q885" s="5" t="s">
        <v>42</v>
      </c>
    </row>
    <row r="886" customFormat="false" ht="15" hidden="false" customHeight="false" outlineLevel="0" collapsed="false">
      <c r="A886" s="5" t="n">
        <v>885</v>
      </c>
      <c r="B886" s="5" t="s">
        <v>1044</v>
      </c>
      <c r="C886" s="5" t="s">
        <v>57</v>
      </c>
      <c r="D886" s="5" t="s">
        <v>36</v>
      </c>
      <c r="E886" s="5" t="s">
        <v>794</v>
      </c>
      <c r="F886" s="5" t="s">
        <v>1030</v>
      </c>
      <c r="G886" s="5" t="s">
        <v>39</v>
      </c>
      <c r="H886" s="5" t="s">
        <v>40</v>
      </c>
      <c r="I886" s="5" t="s">
        <v>796</v>
      </c>
      <c r="J886" s="5" t="n">
        <v>4</v>
      </c>
      <c r="K886" s="5"/>
      <c r="L886" s="6"/>
      <c r="M886" s="6"/>
      <c r="N886" s="6"/>
      <c r="O886" s="6"/>
      <c r="P886" s="5" t="str">
        <f aca="false">IF(M886="","",ROUND(M886*IFERROR(INDEX(Weights!$B$2:$B$4,MATCH(G886,Weights!$A$2:$A$4,0)),0)*IFERROR(INDEX(Weights!$B$7:$B$11,MATCH(E886,Weights!$A$7:$A$11,0)),0)*IFERROR(INDEX(Weights!$B$14:$B$17,MATCH(TEXT(J886,"0"),Weights!$A$14:$A$17,0)),0)/(1+N(N886)/50),1))</f>
        <v/>
      </c>
      <c r="Q886" s="5" t="s">
        <v>42</v>
      </c>
    </row>
    <row r="887" customFormat="false" ht="15" hidden="false" customHeight="false" outlineLevel="0" collapsed="false">
      <c r="A887" s="5" t="n">
        <v>886</v>
      </c>
      <c r="B887" s="5" t="s">
        <v>1045</v>
      </c>
      <c r="C887" s="5" t="s">
        <v>464</v>
      </c>
      <c r="D887" s="5" t="s">
        <v>36</v>
      </c>
      <c r="E887" s="5" t="s">
        <v>794</v>
      </c>
      <c r="F887" s="5" t="s">
        <v>1030</v>
      </c>
      <c r="G887" s="5" t="s">
        <v>39</v>
      </c>
      <c r="H887" s="5" t="s">
        <v>40</v>
      </c>
      <c r="I887" s="5" t="s">
        <v>796</v>
      </c>
      <c r="J887" s="5" t="n">
        <v>4</v>
      </c>
      <c r="K887" s="5"/>
      <c r="L887" s="6"/>
      <c r="M887" s="6"/>
      <c r="N887" s="6"/>
      <c r="O887" s="6"/>
      <c r="P887" s="5" t="str">
        <f aca="false">IF(M887="","",ROUND(M887*IFERROR(INDEX(Weights!$B$2:$B$4,MATCH(G887,Weights!$A$2:$A$4,0)),0)*IFERROR(INDEX(Weights!$B$7:$B$11,MATCH(E887,Weights!$A$7:$A$11,0)),0)*IFERROR(INDEX(Weights!$B$14:$B$17,MATCH(TEXT(J887,"0"),Weights!$A$14:$A$17,0)),0)/(1+N(N887)/50),1))</f>
        <v/>
      </c>
      <c r="Q887" s="5" t="s">
        <v>42</v>
      </c>
    </row>
    <row r="888" customFormat="false" ht="15" hidden="false" customHeight="false" outlineLevel="0" collapsed="false">
      <c r="A888" s="5" t="n">
        <v>887</v>
      </c>
      <c r="B888" s="5" t="s">
        <v>1046</v>
      </c>
      <c r="C888" s="5" t="s">
        <v>464</v>
      </c>
      <c r="D888" s="5" t="s">
        <v>36</v>
      </c>
      <c r="E888" s="5" t="s">
        <v>794</v>
      </c>
      <c r="F888" s="5" t="s">
        <v>1030</v>
      </c>
      <c r="G888" s="5" t="s">
        <v>39</v>
      </c>
      <c r="H888" s="5" t="s">
        <v>40</v>
      </c>
      <c r="I888" s="5" t="s">
        <v>796</v>
      </c>
      <c r="J888" s="5" t="n">
        <v>4</v>
      </c>
      <c r="K888" s="5"/>
      <c r="L888" s="6"/>
      <c r="M888" s="6"/>
      <c r="N888" s="6"/>
      <c r="O888" s="6"/>
      <c r="P888" s="5" t="str">
        <f aca="false">IF(M888="","",ROUND(M888*IFERROR(INDEX(Weights!$B$2:$B$4,MATCH(G888,Weights!$A$2:$A$4,0)),0)*IFERROR(INDEX(Weights!$B$7:$B$11,MATCH(E888,Weights!$A$7:$A$11,0)),0)*IFERROR(INDEX(Weights!$B$14:$B$17,MATCH(TEXT(J888,"0"),Weights!$A$14:$A$17,0)),0)/(1+N(N888)/50),1))</f>
        <v/>
      </c>
      <c r="Q888" s="5" t="s">
        <v>42</v>
      </c>
    </row>
    <row r="889" customFormat="false" ht="15" hidden="false" customHeight="false" outlineLevel="0" collapsed="false">
      <c r="A889" s="5" t="n">
        <v>888</v>
      </c>
      <c r="B889" s="5" t="s">
        <v>1047</v>
      </c>
      <c r="C889" s="5" t="s">
        <v>464</v>
      </c>
      <c r="D889" s="5" t="s">
        <v>36</v>
      </c>
      <c r="E889" s="5" t="s">
        <v>794</v>
      </c>
      <c r="F889" s="5" t="s">
        <v>1030</v>
      </c>
      <c r="G889" s="5" t="s">
        <v>39</v>
      </c>
      <c r="H889" s="5" t="s">
        <v>40</v>
      </c>
      <c r="I889" s="5" t="s">
        <v>796</v>
      </c>
      <c r="J889" s="5" t="n">
        <v>4</v>
      </c>
      <c r="K889" s="5"/>
      <c r="L889" s="6"/>
      <c r="M889" s="6"/>
      <c r="N889" s="6"/>
      <c r="O889" s="6"/>
      <c r="P889" s="5" t="str">
        <f aca="false">IF(M889="","",ROUND(M889*IFERROR(INDEX(Weights!$B$2:$B$4,MATCH(G889,Weights!$A$2:$A$4,0)),0)*IFERROR(INDEX(Weights!$B$7:$B$11,MATCH(E889,Weights!$A$7:$A$11,0)),0)*IFERROR(INDEX(Weights!$B$14:$B$17,MATCH(TEXT(J889,"0"),Weights!$A$14:$A$17,0)),0)/(1+N(N889)/50),1))</f>
        <v/>
      </c>
      <c r="Q889" s="5" t="s">
        <v>42</v>
      </c>
    </row>
    <row r="890" customFormat="false" ht="15" hidden="false" customHeight="false" outlineLevel="0" collapsed="false">
      <c r="A890" s="5" t="n">
        <v>889</v>
      </c>
      <c r="B890" s="5" t="s">
        <v>1048</v>
      </c>
      <c r="C890" s="5" t="s">
        <v>456</v>
      </c>
      <c r="D890" s="5" t="s">
        <v>36</v>
      </c>
      <c r="E890" s="5" t="s">
        <v>794</v>
      </c>
      <c r="F890" s="5" t="s">
        <v>1030</v>
      </c>
      <c r="G890" s="5" t="s">
        <v>39</v>
      </c>
      <c r="H890" s="5" t="s">
        <v>40</v>
      </c>
      <c r="I890" s="5" t="s">
        <v>796</v>
      </c>
      <c r="J890" s="5" t="n">
        <v>4</v>
      </c>
      <c r="K890" s="5"/>
      <c r="L890" s="6"/>
      <c r="M890" s="6"/>
      <c r="N890" s="6"/>
      <c r="O890" s="6"/>
      <c r="P890" s="5" t="str">
        <f aca="false">IF(M890="","",ROUND(M890*IFERROR(INDEX(Weights!$B$2:$B$4,MATCH(G890,Weights!$A$2:$A$4,0)),0)*IFERROR(INDEX(Weights!$B$7:$B$11,MATCH(E890,Weights!$A$7:$A$11,0)),0)*IFERROR(INDEX(Weights!$B$14:$B$17,MATCH(TEXT(J890,"0"),Weights!$A$14:$A$17,0)),0)/(1+N(N890)/50),1))</f>
        <v/>
      </c>
      <c r="Q890" s="5" t="s">
        <v>42</v>
      </c>
    </row>
    <row r="891" customFormat="false" ht="15" hidden="false" customHeight="false" outlineLevel="0" collapsed="false">
      <c r="A891" s="5" t="n">
        <v>890</v>
      </c>
      <c r="B891" s="5" t="s">
        <v>1049</v>
      </c>
      <c r="C891" s="5" t="s">
        <v>456</v>
      </c>
      <c r="D891" s="5" t="s">
        <v>36</v>
      </c>
      <c r="E891" s="5" t="s">
        <v>794</v>
      </c>
      <c r="F891" s="5" t="s">
        <v>1030</v>
      </c>
      <c r="G891" s="5" t="s">
        <v>39</v>
      </c>
      <c r="H891" s="5" t="s">
        <v>40</v>
      </c>
      <c r="I891" s="5" t="s">
        <v>796</v>
      </c>
      <c r="J891" s="5" t="n">
        <v>4</v>
      </c>
      <c r="K891" s="5"/>
      <c r="L891" s="6"/>
      <c r="M891" s="6"/>
      <c r="N891" s="6"/>
      <c r="O891" s="6"/>
      <c r="P891" s="5" t="str">
        <f aca="false">IF(M891="","",ROUND(M891*IFERROR(INDEX(Weights!$B$2:$B$4,MATCH(G891,Weights!$A$2:$A$4,0)),0)*IFERROR(INDEX(Weights!$B$7:$B$11,MATCH(E891,Weights!$A$7:$A$11,0)),0)*IFERROR(INDEX(Weights!$B$14:$B$17,MATCH(TEXT(J891,"0"),Weights!$A$14:$A$17,0)),0)/(1+N(N891)/50),1))</f>
        <v/>
      </c>
      <c r="Q891" s="5" t="s">
        <v>42</v>
      </c>
    </row>
    <row r="892" customFormat="false" ht="15" hidden="false" customHeight="false" outlineLevel="0" collapsed="false">
      <c r="A892" s="5" t="n">
        <v>891</v>
      </c>
      <c r="B892" s="5" t="s">
        <v>1050</v>
      </c>
      <c r="C892" s="5" t="s">
        <v>64</v>
      </c>
      <c r="D892" s="5" t="s">
        <v>36</v>
      </c>
      <c r="E892" s="5" t="s">
        <v>794</v>
      </c>
      <c r="F892" s="5" t="s">
        <v>1030</v>
      </c>
      <c r="G892" s="5" t="s">
        <v>39</v>
      </c>
      <c r="H892" s="5" t="s">
        <v>40</v>
      </c>
      <c r="I892" s="5" t="s">
        <v>796</v>
      </c>
      <c r="J892" s="5" t="n">
        <v>4</v>
      </c>
      <c r="K892" s="5"/>
      <c r="L892" s="6"/>
      <c r="M892" s="6"/>
      <c r="N892" s="6"/>
      <c r="O892" s="6"/>
      <c r="P892" s="5" t="str">
        <f aca="false">IF(M892="","",ROUND(M892*IFERROR(INDEX(Weights!$B$2:$B$4,MATCH(G892,Weights!$A$2:$A$4,0)),0)*IFERROR(INDEX(Weights!$B$7:$B$11,MATCH(E892,Weights!$A$7:$A$11,0)),0)*IFERROR(INDEX(Weights!$B$14:$B$17,MATCH(TEXT(J892,"0"),Weights!$A$14:$A$17,0)),0)/(1+N(N892)/50),1))</f>
        <v/>
      </c>
      <c r="Q892" s="5" t="s">
        <v>42</v>
      </c>
    </row>
    <row r="893" customFormat="false" ht="15" hidden="false" customHeight="false" outlineLevel="0" collapsed="false">
      <c r="A893" s="5" t="n">
        <v>892</v>
      </c>
      <c r="B893" s="5" t="s">
        <v>1051</v>
      </c>
      <c r="C893" s="5" t="s">
        <v>64</v>
      </c>
      <c r="D893" s="5" t="s">
        <v>36</v>
      </c>
      <c r="E893" s="5" t="s">
        <v>794</v>
      </c>
      <c r="F893" s="5" t="s">
        <v>1030</v>
      </c>
      <c r="G893" s="5" t="s">
        <v>39</v>
      </c>
      <c r="H893" s="5" t="s">
        <v>40</v>
      </c>
      <c r="I893" s="5" t="s">
        <v>796</v>
      </c>
      <c r="J893" s="5" t="n">
        <v>4</v>
      </c>
      <c r="K893" s="5"/>
      <c r="L893" s="6"/>
      <c r="M893" s="6"/>
      <c r="N893" s="6"/>
      <c r="O893" s="6"/>
      <c r="P893" s="5" t="str">
        <f aca="false">IF(M893="","",ROUND(M893*IFERROR(INDEX(Weights!$B$2:$B$4,MATCH(G893,Weights!$A$2:$A$4,0)),0)*IFERROR(INDEX(Weights!$B$7:$B$11,MATCH(E893,Weights!$A$7:$A$11,0)),0)*IFERROR(INDEX(Weights!$B$14:$B$17,MATCH(TEXT(J893,"0"),Weights!$A$14:$A$17,0)),0)/(1+N(N893)/50),1))</f>
        <v/>
      </c>
      <c r="Q893" s="5" t="s">
        <v>42</v>
      </c>
    </row>
    <row r="894" customFormat="false" ht="15" hidden="false" customHeight="false" outlineLevel="0" collapsed="false">
      <c r="A894" s="5" t="n">
        <v>893</v>
      </c>
      <c r="B894" s="5" t="s">
        <v>1052</v>
      </c>
      <c r="C894" s="5" t="s">
        <v>61</v>
      </c>
      <c r="D894" s="5" t="s">
        <v>36</v>
      </c>
      <c r="E894" s="5" t="s">
        <v>794</v>
      </c>
      <c r="F894" s="5" t="s">
        <v>1030</v>
      </c>
      <c r="G894" s="5" t="s">
        <v>39</v>
      </c>
      <c r="H894" s="5" t="s">
        <v>40</v>
      </c>
      <c r="I894" s="5" t="s">
        <v>796</v>
      </c>
      <c r="J894" s="5" t="n">
        <v>4</v>
      </c>
      <c r="K894" s="5"/>
      <c r="L894" s="6"/>
      <c r="M894" s="6"/>
      <c r="N894" s="6"/>
      <c r="O894" s="6"/>
      <c r="P894" s="5" t="str">
        <f aca="false">IF(M894="","",ROUND(M894*IFERROR(INDEX(Weights!$B$2:$B$4,MATCH(G894,Weights!$A$2:$A$4,0)),0)*IFERROR(INDEX(Weights!$B$7:$B$11,MATCH(E894,Weights!$A$7:$A$11,0)),0)*IFERROR(INDEX(Weights!$B$14:$B$17,MATCH(TEXT(J894,"0"),Weights!$A$14:$A$17,0)),0)/(1+N(N894)/50),1))</f>
        <v/>
      </c>
      <c r="Q894" s="5" t="s">
        <v>42</v>
      </c>
    </row>
    <row r="895" customFormat="false" ht="15" hidden="false" customHeight="false" outlineLevel="0" collapsed="false">
      <c r="A895" s="5" t="n">
        <v>894</v>
      </c>
      <c r="B895" s="5" t="s">
        <v>1053</v>
      </c>
      <c r="C895" s="5" t="s">
        <v>66</v>
      </c>
      <c r="D895" s="5" t="s">
        <v>36</v>
      </c>
      <c r="E895" s="5" t="s">
        <v>794</v>
      </c>
      <c r="F895" s="5" t="s">
        <v>1030</v>
      </c>
      <c r="G895" s="5" t="s">
        <v>39</v>
      </c>
      <c r="H895" s="5" t="s">
        <v>40</v>
      </c>
      <c r="I895" s="5" t="s">
        <v>796</v>
      </c>
      <c r="J895" s="5" t="n">
        <v>4</v>
      </c>
      <c r="K895" s="5"/>
      <c r="L895" s="6"/>
      <c r="M895" s="6"/>
      <c r="N895" s="6"/>
      <c r="O895" s="6"/>
      <c r="P895" s="5" t="str">
        <f aca="false">IF(M895="","",ROUND(M895*IFERROR(INDEX(Weights!$B$2:$B$4,MATCH(G895,Weights!$A$2:$A$4,0)),0)*IFERROR(INDEX(Weights!$B$7:$B$11,MATCH(E895,Weights!$A$7:$A$11,0)),0)*IFERROR(INDEX(Weights!$B$14:$B$17,MATCH(TEXT(J895,"0"),Weights!$A$14:$A$17,0)),0)/(1+N(N895)/50),1))</f>
        <v/>
      </c>
      <c r="Q895" s="5" t="s">
        <v>42</v>
      </c>
    </row>
    <row r="896" customFormat="false" ht="15" hidden="false" customHeight="false" outlineLevel="0" collapsed="false">
      <c r="A896" s="5" t="n">
        <v>895</v>
      </c>
      <c r="B896" s="5" t="s">
        <v>1054</v>
      </c>
      <c r="C896" s="5" t="s">
        <v>69</v>
      </c>
      <c r="D896" s="5" t="s">
        <v>36</v>
      </c>
      <c r="E896" s="5" t="s">
        <v>794</v>
      </c>
      <c r="F896" s="5" t="s">
        <v>1030</v>
      </c>
      <c r="G896" s="5" t="s">
        <v>39</v>
      </c>
      <c r="H896" s="5" t="s">
        <v>40</v>
      </c>
      <c r="I896" s="5" t="s">
        <v>796</v>
      </c>
      <c r="J896" s="5" t="n">
        <v>4</v>
      </c>
      <c r="K896" s="5"/>
      <c r="L896" s="6"/>
      <c r="M896" s="6"/>
      <c r="N896" s="6"/>
      <c r="O896" s="6"/>
      <c r="P896" s="5" t="str">
        <f aca="false">IF(M896="","",ROUND(M896*IFERROR(INDEX(Weights!$B$2:$B$4,MATCH(G896,Weights!$A$2:$A$4,0)),0)*IFERROR(INDEX(Weights!$B$7:$B$11,MATCH(E896,Weights!$A$7:$A$11,0)),0)*IFERROR(INDEX(Weights!$B$14:$B$17,MATCH(TEXT(J896,"0"),Weights!$A$14:$A$17,0)),0)/(1+N(N896)/50),1))</f>
        <v/>
      </c>
      <c r="Q896" s="5" t="s">
        <v>42</v>
      </c>
    </row>
    <row r="897" customFormat="false" ht="15" hidden="false" customHeight="false" outlineLevel="0" collapsed="false">
      <c r="A897" s="5" t="n">
        <v>896</v>
      </c>
      <c r="B897" s="5" t="s">
        <v>1055</v>
      </c>
      <c r="C897" s="5" t="s">
        <v>35</v>
      </c>
      <c r="D897" s="5" t="s">
        <v>36</v>
      </c>
      <c r="E897" s="5" t="s">
        <v>794</v>
      </c>
      <c r="F897" s="5" t="s">
        <v>1056</v>
      </c>
      <c r="G897" s="5" t="s">
        <v>39</v>
      </c>
      <c r="H897" s="5" t="s">
        <v>40</v>
      </c>
      <c r="I897" s="5" t="s">
        <v>796</v>
      </c>
      <c r="J897" s="5" t="n">
        <v>4</v>
      </c>
      <c r="K897" s="5"/>
      <c r="L897" s="6"/>
      <c r="M897" s="6"/>
      <c r="N897" s="6"/>
      <c r="O897" s="6"/>
      <c r="P897" s="5" t="str">
        <f aca="false">IF(M897="","",ROUND(M897*IFERROR(INDEX(Weights!$B$2:$B$4,MATCH(G897,Weights!$A$2:$A$4,0)),0)*IFERROR(INDEX(Weights!$B$7:$B$11,MATCH(E897,Weights!$A$7:$A$11,0)),0)*IFERROR(INDEX(Weights!$B$14:$B$17,MATCH(TEXT(J897,"0"),Weights!$A$14:$A$17,0)),0)/(1+N(N897)/50),1))</f>
        <v/>
      </c>
      <c r="Q897" s="5" t="s">
        <v>42</v>
      </c>
    </row>
    <row r="898" customFormat="false" ht="15" hidden="false" customHeight="false" outlineLevel="0" collapsed="false">
      <c r="A898" s="5" t="n">
        <v>897</v>
      </c>
      <c r="B898" s="5" t="s">
        <v>1057</v>
      </c>
      <c r="C898" s="5" t="s">
        <v>35</v>
      </c>
      <c r="D898" s="5" t="s">
        <v>36</v>
      </c>
      <c r="E898" s="5" t="s">
        <v>794</v>
      </c>
      <c r="F898" s="5" t="s">
        <v>1056</v>
      </c>
      <c r="G898" s="5" t="s">
        <v>39</v>
      </c>
      <c r="H898" s="5" t="s">
        <v>40</v>
      </c>
      <c r="I898" s="5" t="s">
        <v>796</v>
      </c>
      <c r="J898" s="5" t="n">
        <v>4</v>
      </c>
      <c r="K898" s="5"/>
      <c r="L898" s="6"/>
      <c r="M898" s="6"/>
      <c r="N898" s="6"/>
      <c r="O898" s="6"/>
      <c r="P898" s="5" t="str">
        <f aca="false">IF(M898="","",ROUND(M898*IFERROR(INDEX(Weights!$B$2:$B$4,MATCH(G898,Weights!$A$2:$A$4,0)),0)*IFERROR(INDEX(Weights!$B$7:$B$11,MATCH(E898,Weights!$A$7:$A$11,0)),0)*IFERROR(INDEX(Weights!$B$14:$B$17,MATCH(TEXT(J898,"0"),Weights!$A$14:$A$17,0)),0)/(1+N(N898)/50),1))</f>
        <v/>
      </c>
      <c r="Q898" s="5" t="s">
        <v>42</v>
      </c>
    </row>
    <row r="899" customFormat="false" ht="15" hidden="false" customHeight="false" outlineLevel="0" collapsed="false">
      <c r="A899" s="5" t="n">
        <v>898</v>
      </c>
      <c r="B899" s="5" t="s">
        <v>1058</v>
      </c>
      <c r="C899" s="5" t="s">
        <v>35</v>
      </c>
      <c r="D899" s="5" t="s">
        <v>36</v>
      </c>
      <c r="E899" s="5" t="s">
        <v>794</v>
      </c>
      <c r="F899" s="5" t="s">
        <v>1056</v>
      </c>
      <c r="G899" s="5" t="s">
        <v>39</v>
      </c>
      <c r="H899" s="5" t="s">
        <v>40</v>
      </c>
      <c r="I899" s="5" t="s">
        <v>796</v>
      </c>
      <c r="J899" s="5" t="n">
        <v>4</v>
      </c>
      <c r="K899" s="5"/>
      <c r="L899" s="6"/>
      <c r="M899" s="6"/>
      <c r="N899" s="6"/>
      <c r="O899" s="6"/>
      <c r="P899" s="5" t="str">
        <f aca="false">IF(M899="","",ROUND(M899*IFERROR(INDEX(Weights!$B$2:$B$4,MATCH(G899,Weights!$A$2:$A$4,0)),0)*IFERROR(INDEX(Weights!$B$7:$B$11,MATCH(E899,Weights!$A$7:$A$11,0)),0)*IFERROR(INDEX(Weights!$B$14:$B$17,MATCH(TEXT(J899,"0"),Weights!$A$14:$A$17,0)),0)/(1+N(N899)/50),1))</f>
        <v/>
      </c>
      <c r="Q899" s="5" t="s">
        <v>42</v>
      </c>
    </row>
    <row r="900" customFormat="false" ht="15" hidden="false" customHeight="false" outlineLevel="0" collapsed="false">
      <c r="A900" s="5" t="n">
        <v>899</v>
      </c>
      <c r="B900" s="5" t="s">
        <v>1059</v>
      </c>
      <c r="C900" s="5" t="s">
        <v>47</v>
      </c>
      <c r="D900" s="5" t="s">
        <v>36</v>
      </c>
      <c r="E900" s="5" t="s">
        <v>794</v>
      </c>
      <c r="F900" s="5" t="s">
        <v>1056</v>
      </c>
      <c r="G900" s="5" t="s">
        <v>39</v>
      </c>
      <c r="H900" s="5" t="s">
        <v>40</v>
      </c>
      <c r="I900" s="5" t="s">
        <v>796</v>
      </c>
      <c r="J900" s="5" t="n">
        <v>4</v>
      </c>
      <c r="K900" s="5"/>
      <c r="L900" s="6"/>
      <c r="M900" s="6"/>
      <c r="N900" s="6"/>
      <c r="O900" s="6"/>
      <c r="P900" s="5" t="str">
        <f aca="false">IF(M900="","",ROUND(M900*IFERROR(INDEX(Weights!$B$2:$B$4,MATCH(G900,Weights!$A$2:$A$4,0)),0)*IFERROR(INDEX(Weights!$B$7:$B$11,MATCH(E900,Weights!$A$7:$A$11,0)),0)*IFERROR(INDEX(Weights!$B$14:$B$17,MATCH(TEXT(J900,"0"),Weights!$A$14:$A$17,0)),0)/(1+N(N900)/50),1))</f>
        <v/>
      </c>
      <c r="Q900" s="5" t="s">
        <v>42</v>
      </c>
    </row>
    <row r="901" customFormat="false" ht="15" hidden="false" customHeight="false" outlineLevel="0" collapsed="false">
      <c r="A901" s="5" t="n">
        <v>900</v>
      </c>
      <c r="B901" s="5" t="s">
        <v>1060</v>
      </c>
      <c r="C901" s="5" t="s">
        <v>47</v>
      </c>
      <c r="D901" s="5" t="s">
        <v>36</v>
      </c>
      <c r="E901" s="5" t="s">
        <v>794</v>
      </c>
      <c r="F901" s="5" t="s">
        <v>1056</v>
      </c>
      <c r="G901" s="5" t="s">
        <v>39</v>
      </c>
      <c r="H901" s="5" t="s">
        <v>40</v>
      </c>
      <c r="I901" s="5" t="s">
        <v>796</v>
      </c>
      <c r="J901" s="5" t="n">
        <v>4</v>
      </c>
      <c r="K901" s="5"/>
      <c r="L901" s="6"/>
      <c r="M901" s="6"/>
      <c r="N901" s="6"/>
      <c r="O901" s="6"/>
      <c r="P901" s="5" t="str">
        <f aca="false">IF(M901="","",ROUND(M901*IFERROR(INDEX(Weights!$B$2:$B$4,MATCH(G901,Weights!$A$2:$A$4,0)),0)*IFERROR(INDEX(Weights!$B$7:$B$11,MATCH(E901,Weights!$A$7:$A$11,0)),0)*IFERROR(INDEX(Weights!$B$14:$B$17,MATCH(TEXT(J901,"0"),Weights!$A$14:$A$17,0)),0)/(1+N(N901)/50),1))</f>
        <v/>
      </c>
      <c r="Q901" s="5" t="s">
        <v>42</v>
      </c>
    </row>
    <row r="902" customFormat="false" ht="15" hidden="false" customHeight="false" outlineLevel="0" collapsed="false">
      <c r="A902" s="5" t="n">
        <v>901</v>
      </c>
      <c r="B902" s="5" t="s">
        <v>1061</v>
      </c>
      <c r="C902" s="5" t="s">
        <v>47</v>
      </c>
      <c r="D902" s="5" t="s">
        <v>36</v>
      </c>
      <c r="E902" s="5" t="s">
        <v>794</v>
      </c>
      <c r="F902" s="5" t="s">
        <v>1056</v>
      </c>
      <c r="G902" s="5" t="s">
        <v>39</v>
      </c>
      <c r="H902" s="5" t="s">
        <v>40</v>
      </c>
      <c r="I902" s="5" t="s">
        <v>796</v>
      </c>
      <c r="J902" s="5" t="n">
        <v>4</v>
      </c>
      <c r="K902" s="5"/>
      <c r="L902" s="6"/>
      <c r="M902" s="6"/>
      <c r="N902" s="6"/>
      <c r="O902" s="6"/>
      <c r="P902" s="5" t="str">
        <f aca="false">IF(M902="","",ROUND(M902*IFERROR(INDEX(Weights!$B$2:$B$4,MATCH(G902,Weights!$A$2:$A$4,0)),0)*IFERROR(INDEX(Weights!$B$7:$B$11,MATCH(E902,Weights!$A$7:$A$11,0)),0)*IFERROR(INDEX(Weights!$B$14:$B$17,MATCH(TEXT(J902,"0"),Weights!$A$14:$A$17,0)),0)/(1+N(N902)/50),1))</f>
        <v/>
      </c>
      <c r="Q902" s="5" t="s">
        <v>42</v>
      </c>
    </row>
    <row r="903" customFormat="false" ht="15" hidden="false" customHeight="false" outlineLevel="0" collapsed="false">
      <c r="A903" s="5" t="n">
        <v>902</v>
      </c>
      <c r="B903" s="5" t="s">
        <v>1062</v>
      </c>
      <c r="C903" s="5" t="s">
        <v>47</v>
      </c>
      <c r="D903" s="5" t="s">
        <v>36</v>
      </c>
      <c r="E903" s="5" t="s">
        <v>794</v>
      </c>
      <c r="F903" s="5" t="s">
        <v>1056</v>
      </c>
      <c r="G903" s="5" t="s">
        <v>39</v>
      </c>
      <c r="H903" s="5" t="s">
        <v>40</v>
      </c>
      <c r="I903" s="5" t="s">
        <v>796</v>
      </c>
      <c r="J903" s="5" t="n">
        <v>4</v>
      </c>
      <c r="K903" s="5"/>
      <c r="L903" s="6"/>
      <c r="M903" s="6"/>
      <c r="N903" s="6"/>
      <c r="O903" s="6"/>
      <c r="P903" s="5" t="str">
        <f aca="false">IF(M903="","",ROUND(M903*IFERROR(INDEX(Weights!$B$2:$B$4,MATCH(G903,Weights!$A$2:$A$4,0)),0)*IFERROR(INDEX(Weights!$B$7:$B$11,MATCH(E903,Weights!$A$7:$A$11,0)),0)*IFERROR(INDEX(Weights!$B$14:$B$17,MATCH(TEXT(J903,"0"),Weights!$A$14:$A$17,0)),0)/(1+N(N903)/50),1))</f>
        <v/>
      </c>
      <c r="Q903" s="5" t="s">
        <v>42</v>
      </c>
    </row>
    <row r="904" customFormat="false" ht="15" hidden="false" customHeight="false" outlineLevel="0" collapsed="false">
      <c r="A904" s="5" t="n">
        <v>903</v>
      </c>
      <c r="B904" s="5" t="s">
        <v>1063</v>
      </c>
      <c r="C904" s="5" t="s">
        <v>51</v>
      </c>
      <c r="D904" s="5" t="s">
        <v>36</v>
      </c>
      <c r="E904" s="5" t="s">
        <v>794</v>
      </c>
      <c r="F904" s="5" t="s">
        <v>1056</v>
      </c>
      <c r="G904" s="5" t="s">
        <v>39</v>
      </c>
      <c r="H904" s="5" t="s">
        <v>40</v>
      </c>
      <c r="I904" s="5" t="s">
        <v>796</v>
      </c>
      <c r="J904" s="5" t="n">
        <v>4</v>
      </c>
      <c r="K904" s="5"/>
      <c r="L904" s="6"/>
      <c r="M904" s="6"/>
      <c r="N904" s="6"/>
      <c r="O904" s="6"/>
      <c r="P904" s="5" t="str">
        <f aca="false">IF(M904="","",ROUND(M904*IFERROR(INDEX(Weights!$B$2:$B$4,MATCH(G904,Weights!$A$2:$A$4,0)),0)*IFERROR(INDEX(Weights!$B$7:$B$11,MATCH(E904,Weights!$A$7:$A$11,0)),0)*IFERROR(INDEX(Weights!$B$14:$B$17,MATCH(TEXT(J904,"0"),Weights!$A$14:$A$17,0)),0)/(1+N(N904)/50),1))</f>
        <v/>
      </c>
      <c r="Q904" s="5" t="s">
        <v>42</v>
      </c>
    </row>
    <row r="905" customFormat="false" ht="15" hidden="false" customHeight="false" outlineLevel="0" collapsed="false">
      <c r="A905" s="5" t="n">
        <v>904</v>
      </c>
      <c r="B905" s="5" t="s">
        <v>1064</v>
      </c>
      <c r="C905" s="5" t="s">
        <v>51</v>
      </c>
      <c r="D905" s="5" t="s">
        <v>36</v>
      </c>
      <c r="E905" s="5" t="s">
        <v>794</v>
      </c>
      <c r="F905" s="5" t="s">
        <v>1056</v>
      </c>
      <c r="G905" s="5" t="s">
        <v>39</v>
      </c>
      <c r="H905" s="5" t="s">
        <v>40</v>
      </c>
      <c r="I905" s="5" t="s">
        <v>796</v>
      </c>
      <c r="J905" s="5" t="n">
        <v>4</v>
      </c>
      <c r="K905" s="5"/>
      <c r="L905" s="6"/>
      <c r="M905" s="6"/>
      <c r="N905" s="6"/>
      <c r="O905" s="6"/>
      <c r="P905" s="5" t="str">
        <f aca="false">IF(M905="","",ROUND(M905*IFERROR(INDEX(Weights!$B$2:$B$4,MATCH(G905,Weights!$A$2:$A$4,0)),0)*IFERROR(INDEX(Weights!$B$7:$B$11,MATCH(E905,Weights!$A$7:$A$11,0)),0)*IFERROR(INDEX(Weights!$B$14:$B$17,MATCH(TEXT(J905,"0"),Weights!$A$14:$A$17,0)),0)/(1+N(N905)/50),1))</f>
        <v/>
      </c>
      <c r="Q905" s="5" t="s">
        <v>42</v>
      </c>
    </row>
    <row r="906" customFormat="false" ht="15" hidden="false" customHeight="false" outlineLevel="0" collapsed="false">
      <c r="A906" s="5" t="n">
        <v>905</v>
      </c>
      <c r="B906" s="5" t="s">
        <v>1065</v>
      </c>
      <c r="C906" s="5" t="s">
        <v>51</v>
      </c>
      <c r="D906" s="5" t="s">
        <v>36</v>
      </c>
      <c r="E906" s="5" t="s">
        <v>794</v>
      </c>
      <c r="F906" s="5" t="s">
        <v>1056</v>
      </c>
      <c r="G906" s="5" t="s">
        <v>39</v>
      </c>
      <c r="H906" s="5" t="s">
        <v>40</v>
      </c>
      <c r="I906" s="5" t="s">
        <v>796</v>
      </c>
      <c r="J906" s="5" t="n">
        <v>4</v>
      </c>
      <c r="K906" s="5"/>
      <c r="L906" s="6"/>
      <c r="M906" s="6"/>
      <c r="N906" s="6"/>
      <c r="O906" s="6"/>
      <c r="P906" s="5" t="str">
        <f aca="false">IF(M906="","",ROUND(M906*IFERROR(INDEX(Weights!$B$2:$B$4,MATCH(G906,Weights!$A$2:$A$4,0)),0)*IFERROR(INDEX(Weights!$B$7:$B$11,MATCH(E906,Weights!$A$7:$A$11,0)),0)*IFERROR(INDEX(Weights!$B$14:$B$17,MATCH(TEXT(J906,"0"),Weights!$A$14:$A$17,0)),0)/(1+N(N906)/50),1))</f>
        <v/>
      </c>
      <c r="Q906" s="5" t="s">
        <v>42</v>
      </c>
    </row>
    <row r="907" customFormat="false" ht="15" hidden="false" customHeight="false" outlineLevel="0" collapsed="false">
      <c r="A907" s="5" t="n">
        <v>906</v>
      </c>
      <c r="B907" s="5" t="s">
        <v>1066</v>
      </c>
      <c r="C907" s="5" t="s">
        <v>54</v>
      </c>
      <c r="D907" s="5" t="s">
        <v>36</v>
      </c>
      <c r="E907" s="5" t="s">
        <v>794</v>
      </c>
      <c r="F907" s="5" t="s">
        <v>1056</v>
      </c>
      <c r="G907" s="5" t="s">
        <v>39</v>
      </c>
      <c r="H907" s="5" t="s">
        <v>40</v>
      </c>
      <c r="I907" s="5" t="s">
        <v>796</v>
      </c>
      <c r="J907" s="5" t="n">
        <v>4</v>
      </c>
      <c r="K907" s="5"/>
      <c r="L907" s="6"/>
      <c r="M907" s="6"/>
      <c r="N907" s="6"/>
      <c r="O907" s="6"/>
      <c r="P907" s="5" t="str">
        <f aca="false">IF(M907="","",ROUND(M907*IFERROR(INDEX(Weights!$B$2:$B$4,MATCH(G907,Weights!$A$2:$A$4,0)),0)*IFERROR(INDEX(Weights!$B$7:$B$11,MATCH(E907,Weights!$A$7:$A$11,0)),0)*IFERROR(INDEX(Weights!$B$14:$B$17,MATCH(TEXT(J907,"0"),Weights!$A$14:$A$17,0)),0)/(1+N(N907)/50),1))</f>
        <v/>
      </c>
      <c r="Q907" s="5" t="s">
        <v>42</v>
      </c>
    </row>
    <row r="908" customFormat="false" ht="15" hidden="false" customHeight="false" outlineLevel="0" collapsed="false">
      <c r="A908" s="5" t="n">
        <v>907</v>
      </c>
      <c r="B908" s="5" t="s">
        <v>1067</v>
      </c>
      <c r="C908" s="5" t="s">
        <v>54</v>
      </c>
      <c r="D908" s="5" t="s">
        <v>36</v>
      </c>
      <c r="E908" s="5" t="s">
        <v>794</v>
      </c>
      <c r="F908" s="5" t="s">
        <v>1056</v>
      </c>
      <c r="G908" s="5" t="s">
        <v>39</v>
      </c>
      <c r="H908" s="5" t="s">
        <v>40</v>
      </c>
      <c r="I908" s="5" t="s">
        <v>796</v>
      </c>
      <c r="J908" s="5" t="n">
        <v>4</v>
      </c>
      <c r="K908" s="5"/>
      <c r="L908" s="6"/>
      <c r="M908" s="6"/>
      <c r="N908" s="6"/>
      <c r="O908" s="6"/>
      <c r="P908" s="5" t="str">
        <f aca="false">IF(M908="","",ROUND(M908*IFERROR(INDEX(Weights!$B$2:$B$4,MATCH(G908,Weights!$A$2:$A$4,0)),0)*IFERROR(INDEX(Weights!$B$7:$B$11,MATCH(E908,Weights!$A$7:$A$11,0)),0)*IFERROR(INDEX(Weights!$B$14:$B$17,MATCH(TEXT(J908,"0"),Weights!$A$14:$A$17,0)),0)/(1+N(N908)/50),1))</f>
        <v/>
      </c>
      <c r="Q908" s="5" t="s">
        <v>42</v>
      </c>
    </row>
    <row r="909" customFormat="false" ht="15" hidden="false" customHeight="false" outlineLevel="0" collapsed="false">
      <c r="A909" s="5" t="n">
        <v>908</v>
      </c>
      <c r="B909" s="5" t="s">
        <v>1068</v>
      </c>
      <c r="C909" s="5" t="s">
        <v>57</v>
      </c>
      <c r="D909" s="5" t="s">
        <v>36</v>
      </c>
      <c r="E909" s="5" t="s">
        <v>794</v>
      </c>
      <c r="F909" s="5" t="s">
        <v>1056</v>
      </c>
      <c r="G909" s="5" t="s">
        <v>39</v>
      </c>
      <c r="H909" s="5" t="s">
        <v>40</v>
      </c>
      <c r="I909" s="5" t="s">
        <v>796</v>
      </c>
      <c r="J909" s="5" t="n">
        <v>4</v>
      </c>
      <c r="K909" s="5"/>
      <c r="L909" s="6"/>
      <c r="M909" s="6"/>
      <c r="N909" s="6"/>
      <c r="O909" s="6"/>
      <c r="P909" s="5" t="str">
        <f aca="false">IF(M909="","",ROUND(M909*IFERROR(INDEX(Weights!$B$2:$B$4,MATCH(G909,Weights!$A$2:$A$4,0)),0)*IFERROR(INDEX(Weights!$B$7:$B$11,MATCH(E909,Weights!$A$7:$A$11,0)),0)*IFERROR(INDEX(Weights!$B$14:$B$17,MATCH(TEXT(J909,"0"),Weights!$A$14:$A$17,0)),0)/(1+N(N909)/50),1))</f>
        <v/>
      </c>
      <c r="Q909" s="5" t="s">
        <v>42</v>
      </c>
    </row>
    <row r="910" customFormat="false" ht="15" hidden="false" customHeight="false" outlineLevel="0" collapsed="false">
      <c r="A910" s="5" t="n">
        <v>909</v>
      </c>
      <c r="B910" s="5" t="s">
        <v>1069</v>
      </c>
      <c r="C910" s="5" t="s">
        <v>57</v>
      </c>
      <c r="D910" s="5" t="s">
        <v>36</v>
      </c>
      <c r="E910" s="5" t="s">
        <v>794</v>
      </c>
      <c r="F910" s="5" t="s">
        <v>1056</v>
      </c>
      <c r="G910" s="5" t="s">
        <v>39</v>
      </c>
      <c r="H910" s="5" t="s">
        <v>40</v>
      </c>
      <c r="I910" s="5" t="s">
        <v>796</v>
      </c>
      <c r="J910" s="5" t="n">
        <v>4</v>
      </c>
      <c r="K910" s="5"/>
      <c r="L910" s="6"/>
      <c r="M910" s="6"/>
      <c r="N910" s="6"/>
      <c r="O910" s="6"/>
      <c r="P910" s="5" t="str">
        <f aca="false">IF(M910="","",ROUND(M910*IFERROR(INDEX(Weights!$B$2:$B$4,MATCH(G910,Weights!$A$2:$A$4,0)),0)*IFERROR(INDEX(Weights!$B$7:$B$11,MATCH(E910,Weights!$A$7:$A$11,0)),0)*IFERROR(INDEX(Weights!$B$14:$B$17,MATCH(TEXT(J910,"0"),Weights!$A$14:$A$17,0)),0)/(1+N(N910)/50),1))</f>
        <v/>
      </c>
      <c r="Q910" s="5" t="s">
        <v>42</v>
      </c>
    </row>
    <row r="911" customFormat="false" ht="15" hidden="false" customHeight="false" outlineLevel="0" collapsed="false">
      <c r="A911" s="5" t="n">
        <v>910</v>
      </c>
      <c r="B911" s="5" t="s">
        <v>1070</v>
      </c>
      <c r="C911" s="5" t="s">
        <v>57</v>
      </c>
      <c r="D911" s="5" t="s">
        <v>36</v>
      </c>
      <c r="E911" s="5" t="s">
        <v>794</v>
      </c>
      <c r="F911" s="5" t="s">
        <v>1056</v>
      </c>
      <c r="G911" s="5" t="s">
        <v>39</v>
      </c>
      <c r="H911" s="5" t="s">
        <v>40</v>
      </c>
      <c r="I911" s="5" t="s">
        <v>796</v>
      </c>
      <c r="J911" s="5" t="n">
        <v>4</v>
      </c>
      <c r="K911" s="5"/>
      <c r="L911" s="6"/>
      <c r="M911" s="6"/>
      <c r="N911" s="6"/>
      <c r="O911" s="6"/>
      <c r="P911" s="5" t="str">
        <f aca="false">IF(M911="","",ROUND(M911*IFERROR(INDEX(Weights!$B$2:$B$4,MATCH(G911,Weights!$A$2:$A$4,0)),0)*IFERROR(INDEX(Weights!$B$7:$B$11,MATCH(E911,Weights!$A$7:$A$11,0)),0)*IFERROR(INDEX(Weights!$B$14:$B$17,MATCH(TEXT(J911,"0"),Weights!$A$14:$A$17,0)),0)/(1+N(N911)/50),1))</f>
        <v/>
      </c>
      <c r="Q911" s="5" t="s">
        <v>42</v>
      </c>
    </row>
    <row r="912" customFormat="false" ht="15" hidden="false" customHeight="false" outlineLevel="0" collapsed="false">
      <c r="A912" s="5" t="n">
        <v>911</v>
      </c>
      <c r="B912" s="5" t="s">
        <v>1071</v>
      </c>
      <c r="C912" s="5" t="s">
        <v>464</v>
      </c>
      <c r="D912" s="5" t="s">
        <v>36</v>
      </c>
      <c r="E912" s="5" t="s">
        <v>794</v>
      </c>
      <c r="F912" s="5" t="s">
        <v>1056</v>
      </c>
      <c r="G912" s="5" t="s">
        <v>39</v>
      </c>
      <c r="H912" s="5" t="s">
        <v>40</v>
      </c>
      <c r="I912" s="5" t="s">
        <v>796</v>
      </c>
      <c r="J912" s="5" t="n">
        <v>4</v>
      </c>
      <c r="K912" s="5"/>
      <c r="L912" s="6"/>
      <c r="M912" s="6"/>
      <c r="N912" s="6"/>
      <c r="O912" s="6"/>
      <c r="P912" s="5" t="str">
        <f aca="false">IF(M912="","",ROUND(M912*IFERROR(INDEX(Weights!$B$2:$B$4,MATCH(G912,Weights!$A$2:$A$4,0)),0)*IFERROR(INDEX(Weights!$B$7:$B$11,MATCH(E912,Weights!$A$7:$A$11,0)),0)*IFERROR(INDEX(Weights!$B$14:$B$17,MATCH(TEXT(J912,"0"),Weights!$A$14:$A$17,0)),0)/(1+N(N912)/50),1))</f>
        <v/>
      </c>
      <c r="Q912" s="5" t="s">
        <v>42</v>
      </c>
    </row>
    <row r="913" customFormat="false" ht="15" hidden="false" customHeight="false" outlineLevel="0" collapsed="false">
      <c r="A913" s="5" t="n">
        <v>912</v>
      </c>
      <c r="B913" s="5" t="s">
        <v>1072</v>
      </c>
      <c r="C913" s="5" t="s">
        <v>464</v>
      </c>
      <c r="D913" s="5" t="s">
        <v>36</v>
      </c>
      <c r="E913" s="5" t="s">
        <v>794</v>
      </c>
      <c r="F913" s="5" t="s">
        <v>1056</v>
      </c>
      <c r="G913" s="5" t="s">
        <v>39</v>
      </c>
      <c r="H913" s="5" t="s">
        <v>40</v>
      </c>
      <c r="I913" s="5" t="s">
        <v>796</v>
      </c>
      <c r="J913" s="5" t="n">
        <v>4</v>
      </c>
      <c r="K913" s="5"/>
      <c r="L913" s="6"/>
      <c r="M913" s="6"/>
      <c r="N913" s="6"/>
      <c r="O913" s="6"/>
      <c r="P913" s="5" t="str">
        <f aca="false">IF(M913="","",ROUND(M913*IFERROR(INDEX(Weights!$B$2:$B$4,MATCH(G913,Weights!$A$2:$A$4,0)),0)*IFERROR(INDEX(Weights!$B$7:$B$11,MATCH(E913,Weights!$A$7:$A$11,0)),0)*IFERROR(INDEX(Weights!$B$14:$B$17,MATCH(TEXT(J913,"0"),Weights!$A$14:$A$17,0)),0)/(1+N(N913)/50),1))</f>
        <v/>
      </c>
      <c r="Q913" s="5" t="s">
        <v>42</v>
      </c>
    </row>
    <row r="914" customFormat="false" ht="15" hidden="false" customHeight="false" outlineLevel="0" collapsed="false">
      <c r="A914" s="5" t="n">
        <v>913</v>
      </c>
      <c r="B914" s="5" t="s">
        <v>1073</v>
      </c>
      <c r="C914" s="5" t="s">
        <v>464</v>
      </c>
      <c r="D914" s="5" t="s">
        <v>36</v>
      </c>
      <c r="E914" s="5" t="s">
        <v>794</v>
      </c>
      <c r="F914" s="5" t="s">
        <v>1056</v>
      </c>
      <c r="G914" s="5" t="s">
        <v>39</v>
      </c>
      <c r="H914" s="5" t="s">
        <v>40</v>
      </c>
      <c r="I914" s="5" t="s">
        <v>796</v>
      </c>
      <c r="J914" s="5" t="n">
        <v>4</v>
      </c>
      <c r="K914" s="5"/>
      <c r="L914" s="6"/>
      <c r="M914" s="6"/>
      <c r="N914" s="6"/>
      <c r="O914" s="6"/>
      <c r="P914" s="5" t="str">
        <f aca="false">IF(M914="","",ROUND(M914*IFERROR(INDEX(Weights!$B$2:$B$4,MATCH(G914,Weights!$A$2:$A$4,0)),0)*IFERROR(INDEX(Weights!$B$7:$B$11,MATCH(E914,Weights!$A$7:$A$11,0)),0)*IFERROR(INDEX(Weights!$B$14:$B$17,MATCH(TEXT(J914,"0"),Weights!$A$14:$A$17,0)),0)/(1+N(N914)/50),1))</f>
        <v/>
      </c>
      <c r="Q914" s="5" t="s">
        <v>42</v>
      </c>
    </row>
    <row r="915" customFormat="false" ht="15" hidden="false" customHeight="false" outlineLevel="0" collapsed="false">
      <c r="A915" s="5" t="n">
        <v>914</v>
      </c>
      <c r="B915" s="5" t="s">
        <v>1074</v>
      </c>
      <c r="C915" s="5" t="s">
        <v>456</v>
      </c>
      <c r="D915" s="5" t="s">
        <v>36</v>
      </c>
      <c r="E915" s="5" t="s">
        <v>794</v>
      </c>
      <c r="F915" s="5" t="s">
        <v>1056</v>
      </c>
      <c r="G915" s="5" t="s">
        <v>39</v>
      </c>
      <c r="H915" s="5" t="s">
        <v>40</v>
      </c>
      <c r="I915" s="5" t="s">
        <v>796</v>
      </c>
      <c r="J915" s="5" t="n">
        <v>4</v>
      </c>
      <c r="K915" s="5"/>
      <c r="L915" s="6"/>
      <c r="M915" s="6"/>
      <c r="N915" s="6"/>
      <c r="O915" s="6"/>
      <c r="P915" s="5" t="str">
        <f aca="false">IF(M915="","",ROUND(M915*IFERROR(INDEX(Weights!$B$2:$B$4,MATCH(G915,Weights!$A$2:$A$4,0)),0)*IFERROR(INDEX(Weights!$B$7:$B$11,MATCH(E915,Weights!$A$7:$A$11,0)),0)*IFERROR(INDEX(Weights!$B$14:$B$17,MATCH(TEXT(J915,"0"),Weights!$A$14:$A$17,0)),0)/(1+N(N915)/50),1))</f>
        <v/>
      </c>
      <c r="Q915" s="5" t="s">
        <v>42</v>
      </c>
    </row>
    <row r="916" customFormat="false" ht="15" hidden="false" customHeight="false" outlineLevel="0" collapsed="false">
      <c r="A916" s="5" t="n">
        <v>915</v>
      </c>
      <c r="B916" s="5" t="s">
        <v>1075</v>
      </c>
      <c r="C916" s="5" t="s">
        <v>456</v>
      </c>
      <c r="D916" s="5" t="s">
        <v>36</v>
      </c>
      <c r="E916" s="5" t="s">
        <v>794</v>
      </c>
      <c r="F916" s="5" t="s">
        <v>1056</v>
      </c>
      <c r="G916" s="5" t="s">
        <v>39</v>
      </c>
      <c r="H916" s="5" t="s">
        <v>40</v>
      </c>
      <c r="I916" s="5" t="s">
        <v>796</v>
      </c>
      <c r="J916" s="5" t="n">
        <v>4</v>
      </c>
      <c r="K916" s="5"/>
      <c r="L916" s="6"/>
      <c r="M916" s="6"/>
      <c r="N916" s="6"/>
      <c r="O916" s="6"/>
      <c r="P916" s="5" t="str">
        <f aca="false">IF(M916="","",ROUND(M916*IFERROR(INDEX(Weights!$B$2:$B$4,MATCH(G916,Weights!$A$2:$A$4,0)),0)*IFERROR(INDEX(Weights!$B$7:$B$11,MATCH(E916,Weights!$A$7:$A$11,0)),0)*IFERROR(INDEX(Weights!$B$14:$B$17,MATCH(TEXT(J916,"0"),Weights!$A$14:$A$17,0)),0)/(1+N(N916)/50),1))</f>
        <v/>
      </c>
      <c r="Q916" s="5" t="s">
        <v>42</v>
      </c>
    </row>
    <row r="917" customFormat="false" ht="15" hidden="false" customHeight="false" outlineLevel="0" collapsed="false">
      <c r="A917" s="5" t="n">
        <v>916</v>
      </c>
      <c r="B917" s="5" t="s">
        <v>1076</v>
      </c>
      <c r="C917" s="5" t="s">
        <v>64</v>
      </c>
      <c r="D917" s="5" t="s">
        <v>36</v>
      </c>
      <c r="E917" s="5" t="s">
        <v>794</v>
      </c>
      <c r="F917" s="5" t="s">
        <v>1056</v>
      </c>
      <c r="G917" s="5" t="s">
        <v>39</v>
      </c>
      <c r="H917" s="5" t="s">
        <v>40</v>
      </c>
      <c r="I917" s="5" t="s">
        <v>796</v>
      </c>
      <c r="J917" s="5" t="n">
        <v>4</v>
      </c>
      <c r="K917" s="5"/>
      <c r="L917" s="6"/>
      <c r="M917" s="6"/>
      <c r="N917" s="6"/>
      <c r="O917" s="6"/>
      <c r="P917" s="5" t="str">
        <f aca="false">IF(M917="","",ROUND(M917*IFERROR(INDEX(Weights!$B$2:$B$4,MATCH(G917,Weights!$A$2:$A$4,0)),0)*IFERROR(INDEX(Weights!$B$7:$B$11,MATCH(E917,Weights!$A$7:$A$11,0)),0)*IFERROR(INDEX(Weights!$B$14:$B$17,MATCH(TEXT(J917,"0"),Weights!$A$14:$A$17,0)),0)/(1+N(N917)/50),1))</f>
        <v/>
      </c>
      <c r="Q917" s="5" t="s">
        <v>42</v>
      </c>
    </row>
    <row r="918" customFormat="false" ht="15" hidden="false" customHeight="false" outlineLevel="0" collapsed="false">
      <c r="A918" s="5" t="n">
        <v>917</v>
      </c>
      <c r="B918" s="5" t="s">
        <v>1077</v>
      </c>
      <c r="C918" s="5" t="s">
        <v>64</v>
      </c>
      <c r="D918" s="5" t="s">
        <v>36</v>
      </c>
      <c r="E918" s="5" t="s">
        <v>794</v>
      </c>
      <c r="F918" s="5" t="s">
        <v>1056</v>
      </c>
      <c r="G918" s="5" t="s">
        <v>39</v>
      </c>
      <c r="H918" s="5" t="s">
        <v>40</v>
      </c>
      <c r="I918" s="5" t="s">
        <v>796</v>
      </c>
      <c r="J918" s="5" t="n">
        <v>4</v>
      </c>
      <c r="K918" s="5"/>
      <c r="L918" s="6"/>
      <c r="M918" s="6"/>
      <c r="N918" s="6"/>
      <c r="O918" s="6"/>
      <c r="P918" s="5" t="str">
        <f aca="false">IF(M918="","",ROUND(M918*IFERROR(INDEX(Weights!$B$2:$B$4,MATCH(G918,Weights!$A$2:$A$4,0)),0)*IFERROR(INDEX(Weights!$B$7:$B$11,MATCH(E918,Weights!$A$7:$A$11,0)),0)*IFERROR(INDEX(Weights!$B$14:$B$17,MATCH(TEXT(J918,"0"),Weights!$A$14:$A$17,0)),0)/(1+N(N918)/50),1))</f>
        <v/>
      </c>
      <c r="Q918" s="5" t="s">
        <v>42</v>
      </c>
    </row>
    <row r="919" customFormat="false" ht="15" hidden="false" customHeight="false" outlineLevel="0" collapsed="false">
      <c r="A919" s="5" t="n">
        <v>918</v>
      </c>
      <c r="B919" s="5" t="s">
        <v>1078</v>
      </c>
      <c r="C919" s="5" t="s">
        <v>61</v>
      </c>
      <c r="D919" s="5" t="s">
        <v>36</v>
      </c>
      <c r="E919" s="5" t="s">
        <v>794</v>
      </c>
      <c r="F919" s="5" t="s">
        <v>1056</v>
      </c>
      <c r="G919" s="5" t="s">
        <v>39</v>
      </c>
      <c r="H919" s="5" t="s">
        <v>40</v>
      </c>
      <c r="I919" s="5" t="s">
        <v>796</v>
      </c>
      <c r="J919" s="5" t="n">
        <v>4</v>
      </c>
      <c r="K919" s="5"/>
      <c r="L919" s="6"/>
      <c r="M919" s="6"/>
      <c r="N919" s="6"/>
      <c r="O919" s="6"/>
      <c r="P919" s="5" t="str">
        <f aca="false">IF(M919="","",ROUND(M919*IFERROR(INDEX(Weights!$B$2:$B$4,MATCH(G919,Weights!$A$2:$A$4,0)),0)*IFERROR(INDEX(Weights!$B$7:$B$11,MATCH(E919,Weights!$A$7:$A$11,0)),0)*IFERROR(INDEX(Weights!$B$14:$B$17,MATCH(TEXT(J919,"0"),Weights!$A$14:$A$17,0)),0)/(1+N(N919)/50),1))</f>
        <v/>
      </c>
      <c r="Q919" s="5" t="s">
        <v>42</v>
      </c>
    </row>
    <row r="920" customFormat="false" ht="15" hidden="false" customHeight="false" outlineLevel="0" collapsed="false">
      <c r="A920" s="5" t="n">
        <v>919</v>
      </c>
      <c r="B920" s="5" t="s">
        <v>1079</v>
      </c>
      <c r="C920" s="5" t="s">
        <v>66</v>
      </c>
      <c r="D920" s="5" t="s">
        <v>36</v>
      </c>
      <c r="E920" s="5" t="s">
        <v>794</v>
      </c>
      <c r="F920" s="5" t="s">
        <v>1056</v>
      </c>
      <c r="G920" s="5" t="s">
        <v>39</v>
      </c>
      <c r="H920" s="5" t="s">
        <v>40</v>
      </c>
      <c r="I920" s="5" t="s">
        <v>796</v>
      </c>
      <c r="J920" s="5" t="n">
        <v>4</v>
      </c>
      <c r="K920" s="5"/>
      <c r="L920" s="6"/>
      <c r="M920" s="6"/>
      <c r="N920" s="6"/>
      <c r="O920" s="6"/>
      <c r="P920" s="5" t="str">
        <f aca="false">IF(M920="","",ROUND(M920*IFERROR(INDEX(Weights!$B$2:$B$4,MATCH(G920,Weights!$A$2:$A$4,0)),0)*IFERROR(INDEX(Weights!$B$7:$B$11,MATCH(E920,Weights!$A$7:$A$11,0)),0)*IFERROR(INDEX(Weights!$B$14:$B$17,MATCH(TEXT(J920,"0"),Weights!$A$14:$A$17,0)),0)/(1+N(N920)/50),1))</f>
        <v/>
      </c>
      <c r="Q920" s="5" t="s">
        <v>42</v>
      </c>
    </row>
    <row r="921" customFormat="false" ht="15" hidden="false" customHeight="false" outlineLevel="0" collapsed="false">
      <c r="A921" s="5" t="n">
        <v>920</v>
      </c>
      <c r="B921" s="5" t="s">
        <v>1080</v>
      </c>
      <c r="C921" s="5" t="s">
        <v>69</v>
      </c>
      <c r="D921" s="5" t="s">
        <v>36</v>
      </c>
      <c r="E921" s="5" t="s">
        <v>794</v>
      </c>
      <c r="F921" s="5" t="s">
        <v>1056</v>
      </c>
      <c r="G921" s="5" t="s">
        <v>39</v>
      </c>
      <c r="H921" s="5" t="s">
        <v>40</v>
      </c>
      <c r="I921" s="5" t="s">
        <v>796</v>
      </c>
      <c r="J921" s="5" t="n">
        <v>4</v>
      </c>
      <c r="K921" s="5"/>
      <c r="L921" s="6"/>
      <c r="M921" s="6"/>
      <c r="N921" s="6"/>
      <c r="O921" s="6"/>
      <c r="P921" s="5" t="str">
        <f aca="false">IF(M921="","",ROUND(M921*IFERROR(INDEX(Weights!$B$2:$B$4,MATCH(G921,Weights!$A$2:$A$4,0)),0)*IFERROR(INDEX(Weights!$B$7:$B$11,MATCH(E921,Weights!$A$7:$A$11,0)),0)*IFERROR(INDEX(Weights!$B$14:$B$17,MATCH(TEXT(J921,"0"),Weights!$A$14:$A$17,0)),0)/(1+N(N921)/50),1))</f>
        <v/>
      </c>
      <c r="Q921" s="5" t="s">
        <v>42</v>
      </c>
    </row>
    <row r="922" customFormat="false" ht="15" hidden="false" customHeight="false" outlineLevel="0" collapsed="false">
      <c r="A922" s="5" t="n">
        <v>921</v>
      </c>
      <c r="B922" s="5" t="s">
        <v>1081</v>
      </c>
      <c r="C922" s="5" t="s">
        <v>35</v>
      </c>
      <c r="D922" s="5" t="s">
        <v>36</v>
      </c>
      <c r="E922" s="5" t="s">
        <v>794</v>
      </c>
      <c r="F922" s="5" t="s">
        <v>1082</v>
      </c>
      <c r="G922" s="5" t="s">
        <v>39</v>
      </c>
      <c r="H922" s="5" t="s">
        <v>40</v>
      </c>
      <c r="I922" s="5" t="s">
        <v>796</v>
      </c>
      <c r="J922" s="5" t="n">
        <v>4</v>
      </c>
      <c r="K922" s="5"/>
      <c r="L922" s="6"/>
      <c r="M922" s="6"/>
      <c r="N922" s="6"/>
      <c r="O922" s="6"/>
      <c r="P922" s="5" t="str">
        <f aca="false">IF(M922="","",ROUND(M922*IFERROR(INDEX(Weights!$B$2:$B$4,MATCH(G922,Weights!$A$2:$A$4,0)),0)*IFERROR(INDEX(Weights!$B$7:$B$11,MATCH(E922,Weights!$A$7:$A$11,0)),0)*IFERROR(INDEX(Weights!$B$14:$B$17,MATCH(TEXT(J922,"0"),Weights!$A$14:$A$17,0)),0)/(1+N(N922)/50),1))</f>
        <v/>
      </c>
      <c r="Q922" s="5" t="s">
        <v>42</v>
      </c>
    </row>
    <row r="923" customFormat="false" ht="15" hidden="false" customHeight="false" outlineLevel="0" collapsed="false">
      <c r="A923" s="5" t="n">
        <v>922</v>
      </c>
      <c r="B923" s="5" t="s">
        <v>1083</v>
      </c>
      <c r="C923" s="5" t="s">
        <v>35</v>
      </c>
      <c r="D923" s="5" t="s">
        <v>36</v>
      </c>
      <c r="E923" s="5" t="s">
        <v>794</v>
      </c>
      <c r="F923" s="5" t="s">
        <v>1082</v>
      </c>
      <c r="G923" s="5" t="s">
        <v>39</v>
      </c>
      <c r="H923" s="5" t="s">
        <v>40</v>
      </c>
      <c r="I923" s="5" t="s">
        <v>796</v>
      </c>
      <c r="J923" s="5" t="n">
        <v>4</v>
      </c>
      <c r="K923" s="5"/>
      <c r="L923" s="6"/>
      <c r="M923" s="6"/>
      <c r="N923" s="6"/>
      <c r="O923" s="6"/>
      <c r="P923" s="5" t="str">
        <f aca="false">IF(M923="","",ROUND(M923*IFERROR(INDEX(Weights!$B$2:$B$4,MATCH(G923,Weights!$A$2:$A$4,0)),0)*IFERROR(INDEX(Weights!$B$7:$B$11,MATCH(E923,Weights!$A$7:$A$11,0)),0)*IFERROR(INDEX(Weights!$B$14:$B$17,MATCH(TEXT(J923,"0"),Weights!$A$14:$A$17,0)),0)/(1+N(N923)/50),1))</f>
        <v/>
      </c>
      <c r="Q923" s="5" t="s">
        <v>42</v>
      </c>
    </row>
    <row r="924" customFormat="false" ht="15" hidden="false" customHeight="false" outlineLevel="0" collapsed="false">
      <c r="A924" s="5" t="n">
        <v>923</v>
      </c>
      <c r="B924" s="5" t="s">
        <v>1084</v>
      </c>
      <c r="C924" s="5" t="s">
        <v>35</v>
      </c>
      <c r="D924" s="5" t="s">
        <v>36</v>
      </c>
      <c r="E924" s="5" t="s">
        <v>794</v>
      </c>
      <c r="F924" s="5" t="s">
        <v>1082</v>
      </c>
      <c r="G924" s="5" t="s">
        <v>39</v>
      </c>
      <c r="H924" s="5" t="s">
        <v>40</v>
      </c>
      <c r="I924" s="5" t="s">
        <v>796</v>
      </c>
      <c r="J924" s="5" t="n">
        <v>4</v>
      </c>
      <c r="K924" s="5"/>
      <c r="L924" s="6"/>
      <c r="M924" s="6"/>
      <c r="N924" s="6"/>
      <c r="O924" s="6"/>
      <c r="P924" s="5" t="str">
        <f aca="false">IF(M924="","",ROUND(M924*IFERROR(INDEX(Weights!$B$2:$B$4,MATCH(G924,Weights!$A$2:$A$4,0)),0)*IFERROR(INDEX(Weights!$B$7:$B$11,MATCH(E924,Weights!$A$7:$A$11,0)),0)*IFERROR(INDEX(Weights!$B$14:$B$17,MATCH(TEXT(J924,"0"),Weights!$A$14:$A$17,0)),0)/(1+N(N924)/50),1))</f>
        <v/>
      </c>
      <c r="Q924" s="5" t="s">
        <v>42</v>
      </c>
    </row>
    <row r="925" customFormat="false" ht="15" hidden="false" customHeight="false" outlineLevel="0" collapsed="false">
      <c r="A925" s="5" t="n">
        <v>924</v>
      </c>
      <c r="B925" s="5" t="s">
        <v>1085</v>
      </c>
      <c r="C925" s="5" t="s">
        <v>47</v>
      </c>
      <c r="D925" s="5" t="s">
        <v>36</v>
      </c>
      <c r="E925" s="5" t="s">
        <v>794</v>
      </c>
      <c r="F925" s="5" t="s">
        <v>1082</v>
      </c>
      <c r="G925" s="5" t="s">
        <v>39</v>
      </c>
      <c r="H925" s="5" t="s">
        <v>40</v>
      </c>
      <c r="I925" s="5" t="s">
        <v>796</v>
      </c>
      <c r="J925" s="5" t="n">
        <v>4</v>
      </c>
      <c r="K925" s="5"/>
      <c r="L925" s="6"/>
      <c r="M925" s="6"/>
      <c r="N925" s="6"/>
      <c r="O925" s="6"/>
      <c r="P925" s="5" t="str">
        <f aca="false">IF(M925="","",ROUND(M925*IFERROR(INDEX(Weights!$B$2:$B$4,MATCH(G925,Weights!$A$2:$A$4,0)),0)*IFERROR(INDEX(Weights!$B$7:$B$11,MATCH(E925,Weights!$A$7:$A$11,0)),0)*IFERROR(INDEX(Weights!$B$14:$B$17,MATCH(TEXT(J925,"0"),Weights!$A$14:$A$17,0)),0)/(1+N(N925)/50),1))</f>
        <v/>
      </c>
      <c r="Q925" s="5" t="s">
        <v>42</v>
      </c>
    </row>
    <row r="926" customFormat="false" ht="15" hidden="false" customHeight="false" outlineLevel="0" collapsed="false">
      <c r="A926" s="5" t="n">
        <v>925</v>
      </c>
      <c r="B926" s="5" t="s">
        <v>1086</v>
      </c>
      <c r="C926" s="5" t="s">
        <v>47</v>
      </c>
      <c r="D926" s="5" t="s">
        <v>36</v>
      </c>
      <c r="E926" s="5" t="s">
        <v>794</v>
      </c>
      <c r="F926" s="5" t="s">
        <v>1082</v>
      </c>
      <c r="G926" s="5" t="s">
        <v>39</v>
      </c>
      <c r="H926" s="5" t="s">
        <v>40</v>
      </c>
      <c r="I926" s="5" t="s">
        <v>796</v>
      </c>
      <c r="J926" s="5" t="n">
        <v>4</v>
      </c>
      <c r="K926" s="5"/>
      <c r="L926" s="6"/>
      <c r="M926" s="6"/>
      <c r="N926" s="6"/>
      <c r="O926" s="6"/>
      <c r="P926" s="5" t="str">
        <f aca="false">IF(M926="","",ROUND(M926*IFERROR(INDEX(Weights!$B$2:$B$4,MATCH(G926,Weights!$A$2:$A$4,0)),0)*IFERROR(INDEX(Weights!$B$7:$B$11,MATCH(E926,Weights!$A$7:$A$11,0)),0)*IFERROR(INDEX(Weights!$B$14:$B$17,MATCH(TEXT(J926,"0"),Weights!$A$14:$A$17,0)),0)/(1+N(N926)/50),1))</f>
        <v/>
      </c>
      <c r="Q926" s="5" t="s">
        <v>42</v>
      </c>
    </row>
    <row r="927" customFormat="false" ht="15" hidden="false" customHeight="false" outlineLevel="0" collapsed="false">
      <c r="A927" s="5" t="n">
        <v>926</v>
      </c>
      <c r="B927" s="5" t="s">
        <v>1087</v>
      </c>
      <c r="C927" s="5" t="s">
        <v>47</v>
      </c>
      <c r="D927" s="5" t="s">
        <v>36</v>
      </c>
      <c r="E927" s="5" t="s">
        <v>794</v>
      </c>
      <c r="F927" s="5" t="s">
        <v>1082</v>
      </c>
      <c r="G927" s="5" t="s">
        <v>39</v>
      </c>
      <c r="H927" s="5" t="s">
        <v>40</v>
      </c>
      <c r="I927" s="5" t="s">
        <v>796</v>
      </c>
      <c r="J927" s="5" t="n">
        <v>4</v>
      </c>
      <c r="K927" s="5"/>
      <c r="L927" s="6"/>
      <c r="M927" s="6"/>
      <c r="N927" s="6"/>
      <c r="O927" s="6"/>
      <c r="P927" s="5" t="str">
        <f aca="false">IF(M927="","",ROUND(M927*IFERROR(INDEX(Weights!$B$2:$B$4,MATCH(G927,Weights!$A$2:$A$4,0)),0)*IFERROR(INDEX(Weights!$B$7:$B$11,MATCH(E927,Weights!$A$7:$A$11,0)),0)*IFERROR(INDEX(Weights!$B$14:$B$17,MATCH(TEXT(J927,"0"),Weights!$A$14:$A$17,0)),0)/(1+N(N927)/50),1))</f>
        <v/>
      </c>
      <c r="Q927" s="5" t="s">
        <v>42</v>
      </c>
    </row>
    <row r="928" customFormat="false" ht="15" hidden="false" customHeight="false" outlineLevel="0" collapsed="false">
      <c r="A928" s="5" t="n">
        <v>927</v>
      </c>
      <c r="B928" s="5" t="s">
        <v>1088</v>
      </c>
      <c r="C928" s="5" t="s">
        <v>47</v>
      </c>
      <c r="D928" s="5" t="s">
        <v>36</v>
      </c>
      <c r="E928" s="5" t="s">
        <v>794</v>
      </c>
      <c r="F928" s="5" t="s">
        <v>1082</v>
      </c>
      <c r="G928" s="5" t="s">
        <v>39</v>
      </c>
      <c r="H928" s="5" t="s">
        <v>40</v>
      </c>
      <c r="I928" s="5" t="s">
        <v>796</v>
      </c>
      <c r="J928" s="5" t="n">
        <v>4</v>
      </c>
      <c r="K928" s="5"/>
      <c r="L928" s="6"/>
      <c r="M928" s="6"/>
      <c r="N928" s="6"/>
      <c r="O928" s="6"/>
      <c r="P928" s="5" t="str">
        <f aca="false">IF(M928="","",ROUND(M928*IFERROR(INDEX(Weights!$B$2:$B$4,MATCH(G928,Weights!$A$2:$A$4,0)),0)*IFERROR(INDEX(Weights!$B$7:$B$11,MATCH(E928,Weights!$A$7:$A$11,0)),0)*IFERROR(INDEX(Weights!$B$14:$B$17,MATCH(TEXT(J928,"0"),Weights!$A$14:$A$17,0)),0)/(1+N(N928)/50),1))</f>
        <v/>
      </c>
      <c r="Q928" s="5" t="s">
        <v>42</v>
      </c>
    </row>
    <row r="929" customFormat="false" ht="15" hidden="false" customHeight="false" outlineLevel="0" collapsed="false">
      <c r="A929" s="5" t="n">
        <v>928</v>
      </c>
      <c r="B929" s="5" t="s">
        <v>1089</v>
      </c>
      <c r="C929" s="5" t="s">
        <v>51</v>
      </c>
      <c r="D929" s="5" t="s">
        <v>36</v>
      </c>
      <c r="E929" s="5" t="s">
        <v>794</v>
      </c>
      <c r="F929" s="5" t="s">
        <v>1082</v>
      </c>
      <c r="G929" s="5" t="s">
        <v>39</v>
      </c>
      <c r="H929" s="5" t="s">
        <v>40</v>
      </c>
      <c r="I929" s="5" t="s">
        <v>796</v>
      </c>
      <c r="J929" s="5" t="n">
        <v>4</v>
      </c>
      <c r="K929" s="5"/>
      <c r="L929" s="6"/>
      <c r="M929" s="6"/>
      <c r="N929" s="6"/>
      <c r="O929" s="6"/>
      <c r="P929" s="5" t="str">
        <f aca="false">IF(M929="","",ROUND(M929*IFERROR(INDEX(Weights!$B$2:$B$4,MATCH(G929,Weights!$A$2:$A$4,0)),0)*IFERROR(INDEX(Weights!$B$7:$B$11,MATCH(E929,Weights!$A$7:$A$11,0)),0)*IFERROR(INDEX(Weights!$B$14:$B$17,MATCH(TEXT(J929,"0"),Weights!$A$14:$A$17,0)),0)/(1+N(N929)/50),1))</f>
        <v/>
      </c>
      <c r="Q929" s="5" t="s">
        <v>42</v>
      </c>
    </row>
    <row r="930" customFormat="false" ht="15" hidden="false" customHeight="false" outlineLevel="0" collapsed="false">
      <c r="A930" s="5" t="n">
        <v>929</v>
      </c>
      <c r="B930" s="5" t="s">
        <v>1090</v>
      </c>
      <c r="C930" s="5" t="s">
        <v>51</v>
      </c>
      <c r="D930" s="5" t="s">
        <v>36</v>
      </c>
      <c r="E930" s="5" t="s">
        <v>794</v>
      </c>
      <c r="F930" s="5" t="s">
        <v>1082</v>
      </c>
      <c r="G930" s="5" t="s">
        <v>39</v>
      </c>
      <c r="H930" s="5" t="s">
        <v>40</v>
      </c>
      <c r="I930" s="5" t="s">
        <v>796</v>
      </c>
      <c r="J930" s="5" t="n">
        <v>4</v>
      </c>
      <c r="K930" s="5"/>
      <c r="L930" s="6"/>
      <c r="M930" s="6"/>
      <c r="N930" s="6"/>
      <c r="O930" s="6"/>
      <c r="P930" s="5" t="str">
        <f aca="false">IF(M930="","",ROUND(M930*IFERROR(INDEX(Weights!$B$2:$B$4,MATCH(G930,Weights!$A$2:$A$4,0)),0)*IFERROR(INDEX(Weights!$B$7:$B$11,MATCH(E930,Weights!$A$7:$A$11,0)),0)*IFERROR(INDEX(Weights!$B$14:$B$17,MATCH(TEXT(J930,"0"),Weights!$A$14:$A$17,0)),0)/(1+N(N930)/50),1))</f>
        <v/>
      </c>
      <c r="Q930" s="5" t="s">
        <v>42</v>
      </c>
    </row>
    <row r="931" customFormat="false" ht="15" hidden="false" customHeight="false" outlineLevel="0" collapsed="false">
      <c r="A931" s="5" t="n">
        <v>930</v>
      </c>
      <c r="B931" s="5" t="s">
        <v>1091</v>
      </c>
      <c r="C931" s="5" t="s">
        <v>51</v>
      </c>
      <c r="D931" s="5" t="s">
        <v>36</v>
      </c>
      <c r="E931" s="5" t="s">
        <v>794</v>
      </c>
      <c r="F931" s="5" t="s">
        <v>1082</v>
      </c>
      <c r="G931" s="5" t="s">
        <v>39</v>
      </c>
      <c r="H931" s="5" t="s">
        <v>40</v>
      </c>
      <c r="I931" s="5" t="s">
        <v>796</v>
      </c>
      <c r="J931" s="5" t="n">
        <v>4</v>
      </c>
      <c r="K931" s="5"/>
      <c r="L931" s="6"/>
      <c r="M931" s="6"/>
      <c r="N931" s="6"/>
      <c r="O931" s="6"/>
      <c r="P931" s="5" t="str">
        <f aca="false">IF(M931="","",ROUND(M931*IFERROR(INDEX(Weights!$B$2:$B$4,MATCH(G931,Weights!$A$2:$A$4,0)),0)*IFERROR(INDEX(Weights!$B$7:$B$11,MATCH(E931,Weights!$A$7:$A$11,0)),0)*IFERROR(INDEX(Weights!$B$14:$B$17,MATCH(TEXT(J931,"0"),Weights!$A$14:$A$17,0)),0)/(1+N(N931)/50),1))</f>
        <v/>
      </c>
      <c r="Q931" s="5" t="s">
        <v>42</v>
      </c>
    </row>
    <row r="932" customFormat="false" ht="15" hidden="false" customHeight="false" outlineLevel="0" collapsed="false">
      <c r="A932" s="5" t="n">
        <v>931</v>
      </c>
      <c r="B932" s="5" t="s">
        <v>1092</v>
      </c>
      <c r="C932" s="5" t="s">
        <v>54</v>
      </c>
      <c r="D932" s="5" t="s">
        <v>36</v>
      </c>
      <c r="E932" s="5" t="s">
        <v>794</v>
      </c>
      <c r="F932" s="5" t="s">
        <v>1082</v>
      </c>
      <c r="G932" s="5" t="s">
        <v>39</v>
      </c>
      <c r="H932" s="5" t="s">
        <v>40</v>
      </c>
      <c r="I932" s="5" t="s">
        <v>796</v>
      </c>
      <c r="J932" s="5" t="n">
        <v>4</v>
      </c>
      <c r="K932" s="5"/>
      <c r="L932" s="6"/>
      <c r="M932" s="6"/>
      <c r="N932" s="6"/>
      <c r="O932" s="6"/>
      <c r="P932" s="5" t="str">
        <f aca="false">IF(M932="","",ROUND(M932*IFERROR(INDEX(Weights!$B$2:$B$4,MATCH(G932,Weights!$A$2:$A$4,0)),0)*IFERROR(INDEX(Weights!$B$7:$B$11,MATCH(E932,Weights!$A$7:$A$11,0)),0)*IFERROR(INDEX(Weights!$B$14:$B$17,MATCH(TEXT(J932,"0"),Weights!$A$14:$A$17,0)),0)/(1+N(N932)/50),1))</f>
        <v/>
      </c>
      <c r="Q932" s="5" t="s">
        <v>42</v>
      </c>
    </row>
    <row r="933" customFormat="false" ht="15" hidden="false" customHeight="false" outlineLevel="0" collapsed="false">
      <c r="A933" s="5" t="n">
        <v>932</v>
      </c>
      <c r="B933" s="5" t="s">
        <v>1093</v>
      </c>
      <c r="C933" s="5" t="s">
        <v>54</v>
      </c>
      <c r="D933" s="5" t="s">
        <v>36</v>
      </c>
      <c r="E933" s="5" t="s">
        <v>794</v>
      </c>
      <c r="F933" s="5" t="s">
        <v>1082</v>
      </c>
      <c r="G933" s="5" t="s">
        <v>39</v>
      </c>
      <c r="H933" s="5" t="s">
        <v>40</v>
      </c>
      <c r="I933" s="5" t="s">
        <v>796</v>
      </c>
      <c r="J933" s="5" t="n">
        <v>4</v>
      </c>
      <c r="K933" s="5"/>
      <c r="L933" s="6"/>
      <c r="M933" s="6"/>
      <c r="N933" s="6"/>
      <c r="O933" s="6"/>
      <c r="P933" s="5" t="str">
        <f aca="false">IF(M933="","",ROUND(M933*IFERROR(INDEX(Weights!$B$2:$B$4,MATCH(G933,Weights!$A$2:$A$4,0)),0)*IFERROR(INDEX(Weights!$B$7:$B$11,MATCH(E933,Weights!$A$7:$A$11,0)),0)*IFERROR(INDEX(Weights!$B$14:$B$17,MATCH(TEXT(J933,"0"),Weights!$A$14:$A$17,0)),0)/(1+N(N933)/50),1))</f>
        <v/>
      </c>
      <c r="Q933" s="5" t="s">
        <v>42</v>
      </c>
    </row>
    <row r="934" customFormat="false" ht="15" hidden="false" customHeight="false" outlineLevel="0" collapsed="false">
      <c r="A934" s="5" t="n">
        <v>933</v>
      </c>
      <c r="B934" s="5" t="s">
        <v>1094</v>
      </c>
      <c r="C934" s="5" t="s">
        <v>57</v>
      </c>
      <c r="D934" s="5" t="s">
        <v>36</v>
      </c>
      <c r="E934" s="5" t="s">
        <v>794</v>
      </c>
      <c r="F934" s="5" t="s">
        <v>1082</v>
      </c>
      <c r="G934" s="5" t="s">
        <v>39</v>
      </c>
      <c r="H934" s="5" t="s">
        <v>40</v>
      </c>
      <c r="I934" s="5" t="s">
        <v>796</v>
      </c>
      <c r="J934" s="5" t="n">
        <v>4</v>
      </c>
      <c r="K934" s="5"/>
      <c r="L934" s="6"/>
      <c r="M934" s="6"/>
      <c r="N934" s="6"/>
      <c r="O934" s="6"/>
      <c r="P934" s="5" t="str">
        <f aca="false">IF(M934="","",ROUND(M934*IFERROR(INDEX(Weights!$B$2:$B$4,MATCH(G934,Weights!$A$2:$A$4,0)),0)*IFERROR(INDEX(Weights!$B$7:$B$11,MATCH(E934,Weights!$A$7:$A$11,0)),0)*IFERROR(INDEX(Weights!$B$14:$B$17,MATCH(TEXT(J934,"0"),Weights!$A$14:$A$17,0)),0)/(1+N(N934)/50),1))</f>
        <v/>
      </c>
      <c r="Q934" s="5" t="s">
        <v>42</v>
      </c>
    </row>
    <row r="935" customFormat="false" ht="15" hidden="false" customHeight="false" outlineLevel="0" collapsed="false">
      <c r="A935" s="5" t="n">
        <v>934</v>
      </c>
      <c r="B935" s="5" t="s">
        <v>1095</v>
      </c>
      <c r="C935" s="5" t="s">
        <v>57</v>
      </c>
      <c r="D935" s="5" t="s">
        <v>36</v>
      </c>
      <c r="E935" s="5" t="s">
        <v>794</v>
      </c>
      <c r="F935" s="5" t="s">
        <v>1082</v>
      </c>
      <c r="G935" s="5" t="s">
        <v>39</v>
      </c>
      <c r="H935" s="5" t="s">
        <v>40</v>
      </c>
      <c r="I935" s="5" t="s">
        <v>796</v>
      </c>
      <c r="J935" s="5" t="n">
        <v>4</v>
      </c>
      <c r="K935" s="5"/>
      <c r="L935" s="6"/>
      <c r="M935" s="6"/>
      <c r="N935" s="6"/>
      <c r="O935" s="6"/>
      <c r="P935" s="5" t="str">
        <f aca="false">IF(M935="","",ROUND(M935*IFERROR(INDEX(Weights!$B$2:$B$4,MATCH(G935,Weights!$A$2:$A$4,0)),0)*IFERROR(INDEX(Weights!$B$7:$B$11,MATCH(E935,Weights!$A$7:$A$11,0)),0)*IFERROR(INDEX(Weights!$B$14:$B$17,MATCH(TEXT(J935,"0"),Weights!$A$14:$A$17,0)),0)/(1+N(N935)/50),1))</f>
        <v/>
      </c>
      <c r="Q935" s="5" t="s">
        <v>42</v>
      </c>
    </row>
    <row r="936" customFormat="false" ht="15" hidden="false" customHeight="false" outlineLevel="0" collapsed="false">
      <c r="A936" s="5" t="n">
        <v>935</v>
      </c>
      <c r="B936" s="5" t="s">
        <v>1096</v>
      </c>
      <c r="C936" s="5" t="s">
        <v>57</v>
      </c>
      <c r="D936" s="5" t="s">
        <v>36</v>
      </c>
      <c r="E936" s="5" t="s">
        <v>794</v>
      </c>
      <c r="F936" s="5" t="s">
        <v>1082</v>
      </c>
      <c r="G936" s="5" t="s">
        <v>39</v>
      </c>
      <c r="H936" s="5" t="s">
        <v>40</v>
      </c>
      <c r="I936" s="5" t="s">
        <v>796</v>
      </c>
      <c r="J936" s="5" t="n">
        <v>4</v>
      </c>
      <c r="K936" s="5"/>
      <c r="L936" s="6"/>
      <c r="M936" s="6"/>
      <c r="N936" s="6"/>
      <c r="O936" s="6"/>
      <c r="P936" s="5" t="str">
        <f aca="false">IF(M936="","",ROUND(M936*IFERROR(INDEX(Weights!$B$2:$B$4,MATCH(G936,Weights!$A$2:$A$4,0)),0)*IFERROR(INDEX(Weights!$B$7:$B$11,MATCH(E936,Weights!$A$7:$A$11,0)),0)*IFERROR(INDEX(Weights!$B$14:$B$17,MATCH(TEXT(J936,"0"),Weights!$A$14:$A$17,0)),0)/(1+N(N936)/50),1))</f>
        <v/>
      </c>
      <c r="Q936" s="5" t="s">
        <v>42</v>
      </c>
    </row>
    <row r="937" customFormat="false" ht="15" hidden="false" customHeight="false" outlineLevel="0" collapsed="false">
      <c r="A937" s="5" t="n">
        <v>936</v>
      </c>
      <c r="B937" s="5" t="s">
        <v>1097</v>
      </c>
      <c r="C937" s="5" t="s">
        <v>464</v>
      </c>
      <c r="D937" s="5" t="s">
        <v>36</v>
      </c>
      <c r="E937" s="5" t="s">
        <v>794</v>
      </c>
      <c r="F937" s="5" t="s">
        <v>1082</v>
      </c>
      <c r="G937" s="5" t="s">
        <v>39</v>
      </c>
      <c r="H937" s="5" t="s">
        <v>40</v>
      </c>
      <c r="I937" s="5" t="s">
        <v>796</v>
      </c>
      <c r="J937" s="5" t="n">
        <v>4</v>
      </c>
      <c r="K937" s="5"/>
      <c r="L937" s="6"/>
      <c r="M937" s="6"/>
      <c r="N937" s="6"/>
      <c r="O937" s="6"/>
      <c r="P937" s="5" t="str">
        <f aca="false">IF(M937="","",ROUND(M937*IFERROR(INDEX(Weights!$B$2:$B$4,MATCH(G937,Weights!$A$2:$A$4,0)),0)*IFERROR(INDEX(Weights!$B$7:$B$11,MATCH(E937,Weights!$A$7:$A$11,0)),0)*IFERROR(INDEX(Weights!$B$14:$B$17,MATCH(TEXT(J937,"0"),Weights!$A$14:$A$17,0)),0)/(1+N(N937)/50),1))</f>
        <v/>
      </c>
      <c r="Q937" s="5" t="s">
        <v>42</v>
      </c>
    </row>
    <row r="938" customFormat="false" ht="15" hidden="false" customHeight="false" outlineLevel="0" collapsed="false">
      <c r="A938" s="5" t="n">
        <v>937</v>
      </c>
      <c r="B938" s="5" t="s">
        <v>1098</v>
      </c>
      <c r="C938" s="5" t="s">
        <v>464</v>
      </c>
      <c r="D938" s="5" t="s">
        <v>36</v>
      </c>
      <c r="E938" s="5" t="s">
        <v>794</v>
      </c>
      <c r="F938" s="5" t="s">
        <v>1082</v>
      </c>
      <c r="G938" s="5" t="s">
        <v>39</v>
      </c>
      <c r="H938" s="5" t="s">
        <v>40</v>
      </c>
      <c r="I938" s="5" t="s">
        <v>796</v>
      </c>
      <c r="J938" s="5" t="n">
        <v>4</v>
      </c>
      <c r="K938" s="5"/>
      <c r="L938" s="6"/>
      <c r="M938" s="6"/>
      <c r="N938" s="6"/>
      <c r="O938" s="6"/>
      <c r="P938" s="5" t="str">
        <f aca="false">IF(M938="","",ROUND(M938*IFERROR(INDEX(Weights!$B$2:$B$4,MATCH(G938,Weights!$A$2:$A$4,0)),0)*IFERROR(INDEX(Weights!$B$7:$B$11,MATCH(E938,Weights!$A$7:$A$11,0)),0)*IFERROR(INDEX(Weights!$B$14:$B$17,MATCH(TEXT(J938,"0"),Weights!$A$14:$A$17,0)),0)/(1+N(N938)/50),1))</f>
        <v/>
      </c>
      <c r="Q938" s="5" t="s">
        <v>42</v>
      </c>
    </row>
    <row r="939" customFormat="false" ht="15" hidden="false" customHeight="false" outlineLevel="0" collapsed="false">
      <c r="A939" s="5" t="n">
        <v>938</v>
      </c>
      <c r="B939" s="5" t="s">
        <v>1099</v>
      </c>
      <c r="C939" s="5" t="s">
        <v>464</v>
      </c>
      <c r="D939" s="5" t="s">
        <v>36</v>
      </c>
      <c r="E939" s="5" t="s">
        <v>794</v>
      </c>
      <c r="F939" s="5" t="s">
        <v>1082</v>
      </c>
      <c r="G939" s="5" t="s">
        <v>39</v>
      </c>
      <c r="H939" s="5" t="s">
        <v>40</v>
      </c>
      <c r="I939" s="5" t="s">
        <v>796</v>
      </c>
      <c r="J939" s="5" t="n">
        <v>4</v>
      </c>
      <c r="K939" s="5"/>
      <c r="L939" s="6"/>
      <c r="M939" s="6"/>
      <c r="N939" s="6"/>
      <c r="O939" s="6"/>
      <c r="P939" s="5" t="str">
        <f aca="false">IF(M939="","",ROUND(M939*IFERROR(INDEX(Weights!$B$2:$B$4,MATCH(G939,Weights!$A$2:$A$4,0)),0)*IFERROR(INDEX(Weights!$B$7:$B$11,MATCH(E939,Weights!$A$7:$A$11,0)),0)*IFERROR(INDEX(Weights!$B$14:$B$17,MATCH(TEXT(J939,"0"),Weights!$A$14:$A$17,0)),0)/(1+N(N939)/50),1))</f>
        <v/>
      </c>
      <c r="Q939" s="5" t="s">
        <v>42</v>
      </c>
    </row>
    <row r="940" customFormat="false" ht="15" hidden="false" customHeight="false" outlineLevel="0" collapsed="false">
      <c r="A940" s="5" t="n">
        <v>939</v>
      </c>
      <c r="B940" s="5" t="s">
        <v>1100</v>
      </c>
      <c r="C940" s="5" t="s">
        <v>456</v>
      </c>
      <c r="D940" s="5" t="s">
        <v>36</v>
      </c>
      <c r="E940" s="5" t="s">
        <v>794</v>
      </c>
      <c r="F940" s="5" t="s">
        <v>1082</v>
      </c>
      <c r="G940" s="5" t="s">
        <v>39</v>
      </c>
      <c r="H940" s="5" t="s">
        <v>40</v>
      </c>
      <c r="I940" s="5" t="s">
        <v>796</v>
      </c>
      <c r="J940" s="5" t="n">
        <v>4</v>
      </c>
      <c r="K940" s="5"/>
      <c r="L940" s="6"/>
      <c r="M940" s="6"/>
      <c r="N940" s="6"/>
      <c r="O940" s="6"/>
      <c r="P940" s="5" t="str">
        <f aca="false">IF(M940="","",ROUND(M940*IFERROR(INDEX(Weights!$B$2:$B$4,MATCH(G940,Weights!$A$2:$A$4,0)),0)*IFERROR(INDEX(Weights!$B$7:$B$11,MATCH(E940,Weights!$A$7:$A$11,0)),0)*IFERROR(INDEX(Weights!$B$14:$B$17,MATCH(TEXT(J940,"0"),Weights!$A$14:$A$17,0)),0)/(1+N(N940)/50),1))</f>
        <v/>
      </c>
      <c r="Q940" s="5" t="s">
        <v>42</v>
      </c>
    </row>
    <row r="941" customFormat="false" ht="15" hidden="false" customHeight="false" outlineLevel="0" collapsed="false">
      <c r="A941" s="5" t="n">
        <v>940</v>
      </c>
      <c r="B941" s="5" t="s">
        <v>1101</v>
      </c>
      <c r="C941" s="5" t="s">
        <v>456</v>
      </c>
      <c r="D941" s="5" t="s">
        <v>36</v>
      </c>
      <c r="E941" s="5" t="s">
        <v>794</v>
      </c>
      <c r="F941" s="5" t="s">
        <v>1082</v>
      </c>
      <c r="G941" s="5" t="s">
        <v>39</v>
      </c>
      <c r="H941" s="5" t="s">
        <v>40</v>
      </c>
      <c r="I941" s="5" t="s">
        <v>796</v>
      </c>
      <c r="J941" s="5" t="n">
        <v>4</v>
      </c>
      <c r="K941" s="5"/>
      <c r="L941" s="6"/>
      <c r="M941" s="6"/>
      <c r="N941" s="6"/>
      <c r="O941" s="6"/>
      <c r="P941" s="5" t="str">
        <f aca="false">IF(M941="","",ROUND(M941*IFERROR(INDEX(Weights!$B$2:$B$4,MATCH(G941,Weights!$A$2:$A$4,0)),0)*IFERROR(INDEX(Weights!$B$7:$B$11,MATCH(E941,Weights!$A$7:$A$11,0)),0)*IFERROR(INDEX(Weights!$B$14:$B$17,MATCH(TEXT(J941,"0"),Weights!$A$14:$A$17,0)),0)/(1+N(N941)/50),1))</f>
        <v/>
      </c>
      <c r="Q941" s="5" t="s">
        <v>42</v>
      </c>
    </row>
    <row r="942" customFormat="false" ht="15" hidden="false" customHeight="false" outlineLevel="0" collapsed="false">
      <c r="A942" s="5" t="n">
        <v>941</v>
      </c>
      <c r="B942" s="5" t="s">
        <v>1102</v>
      </c>
      <c r="C942" s="5" t="s">
        <v>64</v>
      </c>
      <c r="D942" s="5" t="s">
        <v>36</v>
      </c>
      <c r="E942" s="5" t="s">
        <v>794</v>
      </c>
      <c r="F942" s="5" t="s">
        <v>1082</v>
      </c>
      <c r="G942" s="5" t="s">
        <v>39</v>
      </c>
      <c r="H942" s="5" t="s">
        <v>40</v>
      </c>
      <c r="I942" s="5" t="s">
        <v>796</v>
      </c>
      <c r="J942" s="5" t="n">
        <v>4</v>
      </c>
      <c r="K942" s="5"/>
      <c r="L942" s="6"/>
      <c r="M942" s="6"/>
      <c r="N942" s="6"/>
      <c r="O942" s="6"/>
      <c r="P942" s="5" t="str">
        <f aca="false">IF(M942="","",ROUND(M942*IFERROR(INDEX(Weights!$B$2:$B$4,MATCH(G942,Weights!$A$2:$A$4,0)),0)*IFERROR(INDEX(Weights!$B$7:$B$11,MATCH(E942,Weights!$A$7:$A$11,0)),0)*IFERROR(INDEX(Weights!$B$14:$B$17,MATCH(TEXT(J942,"0"),Weights!$A$14:$A$17,0)),0)/(1+N(N942)/50),1))</f>
        <v/>
      </c>
      <c r="Q942" s="5" t="s">
        <v>42</v>
      </c>
    </row>
    <row r="943" customFormat="false" ht="15" hidden="false" customHeight="false" outlineLevel="0" collapsed="false">
      <c r="A943" s="5" t="n">
        <v>942</v>
      </c>
      <c r="B943" s="5" t="s">
        <v>1103</v>
      </c>
      <c r="C943" s="5" t="s">
        <v>64</v>
      </c>
      <c r="D943" s="5" t="s">
        <v>36</v>
      </c>
      <c r="E943" s="5" t="s">
        <v>794</v>
      </c>
      <c r="F943" s="5" t="s">
        <v>1082</v>
      </c>
      <c r="G943" s="5" t="s">
        <v>39</v>
      </c>
      <c r="H943" s="5" t="s">
        <v>40</v>
      </c>
      <c r="I943" s="5" t="s">
        <v>796</v>
      </c>
      <c r="J943" s="5" t="n">
        <v>4</v>
      </c>
      <c r="K943" s="5"/>
      <c r="L943" s="6"/>
      <c r="M943" s="6"/>
      <c r="N943" s="6"/>
      <c r="O943" s="6"/>
      <c r="P943" s="5" t="str">
        <f aca="false">IF(M943="","",ROUND(M943*IFERROR(INDEX(Weights!$B$2:$B$4,MATCH(G943,Weights!$A$2:$A$4,0)),0)*IFERROR(INDEX(Weights!$B$7:$B$11,MATCH(E943,Weights!$A$7:$A$11,0)),0)*IFERROR(INDEX(Weights!$B$14:$B$17,MATCH(TEXT(J943,"0"),Weights!$A$14:$A$17,0)),0)/(1+N(N943)/50),1))</f>
        <v/>
      </c>
      <c r="Q943" s="5" t="s">
        <v>42</v>
      </c>
    </row>
    <row r="944" customFormat="false" ht="15" hidden="false" customHeight="false" outlineLevel="0" collapsed="false">
      <c r="A944" s="5" t="n">
        <v>943</v>
      </c>
      <c r="B944" s="5" t="s">
        <v>1104</v>
      </c>
      <c r="C944" s="5" t="s">
        <v>61</v>
      </c>
      <c r="D944" s="5" t="s">
        <v>36</v>
      </c>
      <c r="E944" s="5" t="s">
        <v>794</v>
      </c>
      <c r="F944" s="5" t="s">
        <v>1082</v>
      </c>
      <c r="G944" s="5" t="s">
        <v>39</v>
      </c>
      <c r="H944" s="5" t="s">
        <v>40</v>
      </c>
      <c r="I944" s="5" t="s">
        <v>796</v>
      </c>
      <c r="J944" s="5" t="n">
        <v>4</v>
      </c>
      <c r="K944" s="5"/>
      <c r="L944" s="6"/>
      <c r="M944" s="6"/>
      <c r="N944" s="6"/>
      <c r="O944" s="6"/>
      <c r="P944" s="5" t="str">
        <f aca="false">IF(M944="","",ROUND(M944*IFERROR(INDEX(Weights!$B$2:$B$4,MATCH(G944,Weights!$A$2:$A$4,0)),0)*IFERROR(INDEX(Weights!$B$7:$B$11,MATCH(E944,Weights!$A$7:$A$11,0)),0)*IFERROR(INDEX(Weights!$B$14:$B$17,MATCH(TEXT(J944,"0"),Weights!$A$14:$A$17,0)),0)/(1+N(N944)/50),1))</f>
        <v/>
      </c>
      <c r="Q944" s="5" t="s">
        <v>42</v>
      </c>
    </row>
    <row r="945" customFormat="false" ht="15" hidden="false" customHeight="false" outlineLevel="0" collapsed="false">
      <c r="A945" s="5" t="n">
        <v>944</v>
      </c>
      <c r="B945" s="5" t="s">
        <v>1105</v>
      </c>
      <c r="C945" s="5" t="s">
        <v>66</v>
      </c>
      <c r="D945" s="5" t="s">
        <v>36</v>
      </c>
      <c r="E945" s="5" t="s">
        <v>794</v>
      </c>
      <c r="F945" s="5" t="s">
        <v>1082</v>
      </c>
      <c r="G945" s="5" t="s">
        <v>39</v>
      </c>
      <c r="H945" s="5" t="s">
        <v>40</v>
      </c>
      <c r="I945" s="5" t="s">
        <v>796</v>
      </c>
      <c r="J945" s="5" t="n">
        <v>4</v>
      </c>
      <c r="K945" s="5"/>
      <c r="L945" s="6"/>
      <c r="M945" s="6"/>
      <c r="N945" s="6"/>
      <c r="O945" s="6"/>
      <c r="P945" s="5" t="str">
        <f aca="false">IF(M945="","",ROUND(M945*IFERROR(INDEX(Weights!$B$2:$B$4,MATCH(G945,Weights!$A$2:$A$4,0)),0)*IFERROR(INDEX(Weights!$B$7:$B$11,MATCH(E945,Weights!$A$7:$A$11,0)),0)*IFERROR(INDEX(Weights!$B$14:$B$17,MATCH(TEXT(J945,"0"),Weights!$A$14:$A$17,0)),0)/(1+N(N945)/50),1))</f>
        <v/>
      </c>
      <c r="Q945" s="5" t="s">
        <v>42</v>
      </c>
    </row>
    <row r="946" customFormat="false" ht="15" hidden="false" customHeight="false" outlineLevel="0" collapsed="false">
      <c r="A946" s="5" t="n">
        <v>945</v>
      </c>
      <c r="B946" s="5" t="s">
        <v>1106</v>
      </c>
      <c r="C946" s="5" t="s">
        <v>69</v>
      </c>
      <c r="D946" s="5" t="s">
        <v>36</v>
      </c>
      <c r="E946" s="5" t="s">
        <v>794</v>
      </c>
      <c r="F946" s="5" t="s">
        <v>1082</v>
      </c>
      <c r="G946" s="5" t="s">
        <v>39</v>
      </c>
      <c r="H946" s="5" t="s">
        <v>40</v>
      </c>
      <c r="I946" s="5" t="s">
        <v>796</v>
      </c>
      <c r="J946" s="5" t="n">
        <v>4</v>
      </c>
      <c r="K946" s="5"/>
      <c r="L946" s="6"/>
      <c r="M946" s="6"/>
      <c r="N946" s="6"/>
      <c r="O946" s="6"/>
      <c r="P946" s="5" t="str">
        <f aca="false">IF(M946="","",ROUND(M946*IFERROR(INDEX(Weights!$B$2:$B$4,MATCH(G946,Weights!$A$2:$A$4,0)),0)*IFERROR(INDEX(Weights!$B$7:$B$11,MATCH(E946,Weights!$A$7:$A$11,0)),0)*IFERROR(INDEX(Weights!$B$14:$B$17,MATCH(TEXT(J946,"0"),Weights!$A$14:$A$17,0)),0)/(1+N(N946)/50),1))</f>
        <v/>
      </c>
      <c r="Q946" s="5" t="s">
        <v>42</v>
      </c>
    </row>
    <row r="947" customFormat="false" ht="15" hidden="false" customHeight="false" outlineLevel="0" collapsed="false">
      <c r="A947" s="5" t="n">
        <v>946</v>
      </c>
      <c r="B947" s="5" t="s">
        <v>1107</v>
      </c>
      <c r="C947" s="5" t="s">
        <v>35</v>
      </c>
      <c r="D947" s="5" t="s">
        <v>36</v>
      </c>
      <c r="E947" s="5" t="s">
        <v>1108</v>
      </c>
      <c r="F947" s="5" t="s">
        <v>1109</v>
      </c>
      <c r="G947" s="5" t="s">
        <v>39</v>
      </c>
      <c r="H947" s="5" t="s">
        <v>40</v>
      </c>
      <c r="I947" s="5" t="s">
        <v>796</v>
      </c>
      <c r="J947" s="5" t="n">
        <v>4</v>
      </c>
      <c r="K947" s="5"/>
      <c r="L947" s="6"/>
      <c r="M947" s="6"/>
      <c r="N947" s="6"/>
      <c r="O947" s="6"/>
      <c r="P947" s="5" t="str">
        <f aca="false">IF(M947="","",ROUND(M947*IFERROR(INDEX(Weights!$B$2:$B$4,MATCH(G947,Weights!$A$2:$A$4,0)),0)*IFERROR(INDEX(Weights!$B$7:$B$11,MATCH(E947,Weights!$A$7:$A$11,0)),0)*IFERROR(INDEX(Weights!$B$14:$B$17,MATCH(TEXT(J947,"0"),Weights!$A$14:$A$17,0)),0)/(1+N(N947)/50),1))</f>
        <v/>
      </c>
      <c r="Q947" s="5" t="s">
        <v>42</v>
      </c>
    </row>
    <row r="948" customFormat="false" ht="15" hidden="false" customHeight="false" outlineLevel="0" collapsed="false">
      <c r="A948" s="5" t="n">
        <v>947</v>
      </c>
      <c r="B948" s="5" t="s">
        <v>1110</v>
      </c>
      <c r="C948" s="5" t="s">
        <v>35</v>
      </c>
      <c r="D948" s="5" t="s">
        <v>36</v>
      </c>
      <c r="E948" s="5" t="s">
        <v>1108</v>
      </c>
      <c r="F948" s="5" t="s">
        <v>1109</v>
      </c>
      <c r="G948" s="5" t="s">
        <v>39</v>
      </c>
      <c r="H948" s="5" t="s">
        <v>40</v>
      </c>
      <c r="I948" s="5" t="s">
        <v>796</v>
      </c>
      <c r="J948" s="5" t="n">
        <v>4</v>
      </c>
      <c r="K948" s="5"/>
      <c r="L948" s="6"/>
      <c r="M948" s="6"/>
      <c r="N948" s="6"/>
      <c r="O948" s="6"/>
      <c r="P948" s="5" t="str">
        <f aca="false">IF(M948="","",ROUND(M948*IFERROR(INDEX(Weights!$B$2:$B$4,MATCH(G948,Weights!$A$2:$A$4,0)),0)*IFERROR(INDEX(Weights!$B$7:$B$11,MATCH(E948,Weights!$A$7:$A$11,0)),0)*IFERROR(INDEX(Weights!$B$14:$B$17,MATCH(TEXT(J948,"0"),Weights!$A$14:$A$17,0)),0)/(1+N(N948)/50),1))</f>
        <v/>
      </c>
      <c r="Q948" s="5" t="s">
        <v>42</v>
      </c>
    </row>
    <row r="949" customFormat="false" ht="15" hidden="false" customHeight="false" outlineLevel="0" collapsed="false">
      <c r="A949" s="5" t="n">
        <v>948</v>
      </c>
      <c r="B949" s="5" t="s">
        <v>1111</v>
      </c>
      <c r="C949" s="5" t="s">
        <v>35</v>
      </c>
      <c r="D949" s="5" t="s">
        <v>36</v>
      </c>
      <c r="E949" s="5" t="s">
        <v>1108</v>
      </c>
      <c r="F949" s="5" t="s">
        <v>1109</v>
      </c>
      <c r="G949" s="5" t="s">
        <v>39</v>
      </c>
      <c r="H949" s="5" t="s">
        <v>40</v>
      </c>
      <c r="I949" s="5" t="s">
        <v>796</v>
      </c>
      <c r="J949" s="5" t="n">
        <v>4</v>
      </c>
      <c r="K949" s="5"/>
      <c r="L949" s="6"/>
      <c r="M949" s="6"/>
      <c r="N949" s="6"/>
      <c r="O949" s="6"/>
      <c r="P949" s="5" t="str">
        <f aca="false">IF(M949="","",ROUND(M949*IFERROR(INDEX(Weights!$B$2:$B$4,MATCH(G949,Weights!$A$2:$A$4,0)),0)*IFERROR(INDEX(Weights!$B$7:$B$11,MATCH(E949,Weights!$A$7:$A$11,0)),0)*IFERROR(INDEX(Weights!$B$14:$B$17,MATCH(TEXT(J949,"0"),Weights!$A$14:$A$17,0)),0)/(1+N(N949)/50),1))</f>
        <v/>
      </c>
      <c r="Q949" s="5" t="s">
        <v>42</v>
      </c>
    </row>
    <row r="950" customFormat="false" ht="15" hidden="false" customHeight="false" outlineLevel="0" collapsed="false">
      <c r="A950" s="5" t="n">
        <v>949</v>
      </c>
      <c r="B950" s="5" t="s">
        <v>1112</v>
      </c>
      <c r="C950" s="5" t="s">
        <v>47</v>
      </c>
      <c r="D950" s="5" t="s">
        <v>36</v>
      </c>
      <c r="E950" s="5" t="s">
        <v>1108</v>
      </c>
      <c r="F950" s="5" t="s">
        <v>1109</v>
      </c>
      <c r="G950" s="5" t="s">
        <v>39</v>
      </c>
      <c r="H950" s="5" t="s">
        <v>40</v>
      </c>
      <c r="I950" s="5" t="s">
        <v>796</v>
      </c>
      <c r="J950" s="5" t="n">
        <v>4</v>
      </c>
      <c r="K950" s="5"/>
      <c r="L950" s="6"/>
      <c r="M950" s="6"/>
      <c r="N950" s="6"/>
      <c r="O950" s="6"/>
      <c r="P950" s="5" t="str">
        <f aca="false">IF(M950="","",ROUND(M950*IFERROR(INDEX(Weights!$B$2:$B$4,MATCH(G950,Weights!$A$2:$A$4,0)),0)*IFERROR(INDEX(Weights!$B$7:$B$11,MATCH(E950,Weights!$A$7:$A$11,0)),0)*IFERROR(INDEX(Weights!$B$14:$B$17,MATCH(TEXT(J950,"0"),Weights!$A$14:$A$17,0)),0)/(1+N(N950)/50),1))</f>
        <v/>
      </c>
      <c r="Q950" s="5" t="s">
        <v>42</v>
      </c>
    </row>
    <row r="951" customFormat="false" ht="15" hidden="false" customHeight="false" outlineLevel="0" collapsed="false">
      <c r="A951" s="5" t="n">
        <v>950</v>
      </c>
      <c r="B951" s="5" t="s">
        <v>1113</v>
      </c>
      <c r="C951" s="5" t="s">
        <v>47</v>
      </c>
      <c r="D951" s="5" t="s">
        <v>36</v>
      </c>
      <c r="E951" s="5" t="s">
        <v>1108</v>
      </c>
      <c r="F951" s="5" t="s">
        <v>1109</v>
      </c>
      <c r="G951" s="5" t="s">
        <v>39</v>
      </c>
      <c r="H951" s="5" t="s">
        <v>40</v>
      </c>
      <c r="I951" s="5" t="s">
        <v>796</v>
      </c>
      <c r="J951" s="5" t="n">
        <v>4</v>
      </c>
      <c r="K951" s="5"/>
      <c r="L951" s="6"/>
      <c r="M951" s="6"/>
      <c r="N951" s="6"/>
      <c r="O951" s="6"/>
      <c r="P951" s="5" t="str">
        <f aca="false">IF(M951="","",ROUND(M951*IFERROR(INDEX(Weights!$B$2:$B$4,MATCH(G951,Weights!$A$2:$A$4,0)),0)*IFERROR(INDEX(Weights!$B$7:$B$11,MATCH(E951,Weights!$A$7:$A$11,0)),0)*IFERROR(INDEX(Weights!$B$14:$B$17,MATCH(TEXT(J951,"0"),Weights!$A$14:$A$17,0)),0)/(1+N(N951)/50),1))</f>
        <v/>
      </c>
      <c r="Q951" s="5" t="s">
        <v>42</v>
      </c>
    </row>
    <row r="952" customFormat="false" ht="15" hidden="false" customHeight="false" outlineLevel="0" collapsed="false">
      <c r="A952" s="5" t="n">
        <v>951</v>
      </c>
      <c r="B952" s="5" t="s">
        <v>1114</v>
      </c>
      <c r="C952" s="5" t="s">
        <v>47</v>
      </c>
      <c r="D952" s="5" t="s">
        <v>36</v>
      </c>
      <c r="E952" s="5" t="s">
        <v>1108</v>
      </c>
      <c r="F952" s="5" t="s">
        <v>1109</v>
      </c>
      <c r="G952" s="5" t="s">
        <v>39</v>
      </c>
      <c r="H952" s="5" t="s">
        <v>40</v>
      </c>
      <c r="I952" s="5" t="s">
        <v>796</v>
      </c>
      <c r="J952" s="5" t="n">
        <v>4</v>
      </c>
      <c r="K952" s="5"/>
      <c r="L952" s="6"/>
      <c r="M952" s="6"/>
      <c r="N952" s="6"/>
      <c r="O952" s="6"/>
      <c r="P952" s="5" t="str">
        <f aca="false">IF(M952="","",ROUND(M952*IFERROR(INDEX(Weights!$B$2:$B$4,MATCH(G952,Weights!$A$2:$A$4,0)),0)*IFERROR(INDEX(Weights!$B$7:$B$11,MATCH(E952,Weights!$A$7:$A$11,0)),0)*IFERROR(INDEX(Weights!$B$14:$B$17,MATCH(TEXT(J952,"0"),Weights!$A$14:$A$17,0)),0)/(1+N(N952)/50),1))</f>
        <v/>
      </c>
      <c r="Q952" s="5" t="s">
        <v>42</v>
      </c>
    </row>
    <row r="953" customFormat="false" ht="15" hidden="false" customHeight="false" outlineLevel="0" collapsed="false">
      <c r="A953" s="5" t="n">
        <v>952</v>
      </c>
      <c r="B953" s="5" t="s">
        <v>1115</v>
      </c>
      <c r="C953" s="5" t="s">
        <v>47</v>
      </c>
      <c r="D953" s="5" t="s">
        <v>36</v>
      </c>
      <c r="E953" s="5" t="s">
        <v>1108</v>
      </c>
      <c r="F953" s="5" t="s">
        <v>1109</v>
      </c>
      <c r="G953" s="5" t="s">
        <v>39</v>
      </c>
      <c r="H953" s="5" t="s">
        <v>40</v>
      </c>
      <c r="I953" s="5" t="s">
        <v>796</v>
      </c>
      <c r="J953" s="5" t="n">
        <v>4</v>
      </c>
      <c r="K953" s="5"/>
      <c r="L953" s="6"/>
      <c r="M953" s="6"/>
      <c r="N953" s="6"/>
      <c r="O953" s="6"/>
      <c r="P953" s="5" t="str">
        <f aca="false">IF(M953="","",ROUND(M953*IFERROR(INDEX(Weights!$B$2:$B$4,MATCH(G953,Weights!$A$2:$A$4,0)),0)*IFERROR(INDEX(Weights!$B$7:$B$11,MATCH(E953,Weights!$A$7:$A$11,0)),0)*IFERROR(INDEX(Weights!$B$14:$B$17,MATCH(TEXT(J953,"0"),Weights!$A$14:$A$17,0)),0)/(1+N(N953)/50),1))</f>
        <v/>
      </c>
      <c r="Q953" s="5" t="s">
        <v>42</v>
      </c>
    </row>
    <row r="954" customFormat="false" ht="15" hidden="false" customHeight="false" outlineLevel="0" collapsed="false">
      <c r="A954" s="5" t="n">
        <v>953</v>
      </c>
      <c r="B954" s="5" t="s">
        <v>1116</v>
      </c>
      <c r="C954" s="5" t="s">
        <v>51</v>
      </c>
      <c r="D954" s="5" t="s">
        <v>36</v>
      </c>
      <c r="E954" s="5" t="s">
        <v>1108</v>
      </c>
      <c r="F954" s="5" t="s">
        <v>1109</v>
      </c>
      <c r="G954" s="5" t="s">
        <v>39</v>
      </c>
      <c r="H954" s="5" t="s">
        <v>40</v>
      </c>
      <c r="I954" s="5" t="s">
        <v>796</v>
      </c>
      <c r="J954" s="5" t="n">
        <v>4</v>
      </c>
      <c r="K954" s="5"/>
      <c r="L954" s="6"/>
      <c r="M954" s="6"/>
      <c r="N954" s="6"/>
      <c r="O954" s="6"/>
      <c r="P954" s="5" t="str">
        <f aca="false">IF(M954="","",ROUND(M954*IFERROR(INDEX(Weights!$B$2:$B$4,MATCH(G954,Weights!$A$2:$A$4,0)),0)*IFERROR(INDEX(Weights!$B$7:$B$11,MATCH(E954,Weights!$A$7:$A$11,0)),0)*IFERROR(INDEX(Weights!$B$14:$B$17,MATCH(TEXT(J954,"0"),Weights!$A$14:$A$17,0)),0)/(1+N(N954)/50),1))</f>
        <v/>
      </c>
      <c r="Q954" s="5" t="s">
        <v>42</v>
      </c>
    </row>
    <row r="955" customFormat="false" ht="15" hidden="false" customHeight="false" outlineLevel="0" collapsed="false">
      <c r="A955" s="5" t="n">
        <v>954</v>
      </c>
      <c r="B955" s="5" t="s">
        <v>1117</v>
      </c>
      <c r="C955" s="5" t="s">
        <v>51</v>
      </c>
      <c r="D955" s="5" t="s">
        <v>36</v>
      </c>
      <c r="E955" s="5" t="s">
        <v>1108</v>
      </c>
      <c r="F955" s="5" t="s">
        <v>1109</v>
      </c>
      <c r="G955" s="5" t="s">
        <v>39</v>
      </c>
      <c r="H955" s="5" t="s">
        <v>40</v>
      </c>
      <c r="I955" s="5" t="s">
        <v>796</v>
      </c>
      <c r="J955" s="5" t="n">
        <v>4</v>
      </c>
      <c r="K955" s="5"/>
      <c r="L955" s="6"/>
      <c r="M955" s="6"/>
      <c r="N955" s="6"/>
      <c r="O955" s="6"/>
      <c r="P955" s="5" t="str">
        <f aca="false">IF(M955="","",ROUND(M955*IFERROR(INDEX(Weights!$B$2:$B$4,MATCH(G955,Weights!$A$2:$A$4,0)),0)*IFERROR(INDEX(Weights!$B$7:$B$11,MATCH(E955,Weights!$A$7:$A$11,0)),0)*IFERROR(INDEX(Weights!$B$14:$B$17,MATCH(TEXT(J955,"0"),Weights!$A$14:$A$17,0)),0)/(1+N(N955)/50),1))</f>
        <v/>
      </c>
      <c r="Q955" s="5" t="s">
        <v>42</v>
      </c>
    </row>
    <row r="956" customFormat="false" ht="15" hidden="false" customHeight="false" outlineLevel="0" collapsed="false">
      <c r="A956" s="5" t="n">
        <v>955</v>
      </c>
      <c r="B956" s="5" t="s">
        <v>1118</v>
      </c>
      <c r="C956" s="5" t="s">
        <v>51</v>
      </c>
      <c r="D956" s="5" t="s">
        <v>36</v>
      </c>
      <c r="E956" s="5" t="s">
        <v>1108</v>
      </c>
      <c r="F956" s="5" t="s">
        <v>1109</v>
      </c>
      <c r="G956" s="5" t="s">
        <v>39</v>
      </c>
      <c r="H956" s="5" t="s">
        <v>40</v>
      </c>
      <c r="I956" s="5" t="s">
        <v>796</v>
      </c>
      <c r="J956" s="5" t="n">
        <v>4</v>
      </c>
      <c r="K956" s="5"/>
      <c r="L956" s="6"/>
      <c r="M956" s="6"/>
      <c r="N956" s="6"/>
      <c r="O956" s="6"/>
      <c r="P956" s="5" t="str">
        <f aca="false">IF(M956="","",ROUND(M956*IFERROR(INDEX(Weights!$B$2:$B$4,MATCH(G956,Weights!$A$2:$A$4,0)),0)*IFERROR(INDEX(Weights!$B$7:$B$11,MATCH(E956,Weights!$A$7:$A$11,0)),0)*IFERROR(INDEX(Weights!$B$14:$B$17,MATCH(TEXT(J956,"0"),Weights!$A$14:$A$17,0)),0)/(1+N(N956)/50),1))</f>
        <v/>
      </c>
      <c r="Q956" s="5" t="s">
        <v>42</v>
      </c>
    </row>
    <row r="957" customFormat="false" ht="15" hidden="false" customHeight="false" outlineLevel="0" collapsed="false">
      <c r="A957" s="5" t="n">
        <v>956</v>
      </c>
      <c r="B957" s="5" t="s">
        <v>1119</v>
      </c>
      <c r="C957" s="5" t="s">
        <v>54</v>
      </c>
      <c r="D957" s="5" t="s">
        <v>36</v>
      </c>
      <c r="E957" s="5" t="s">
        <v>1108</v>
      </c>
      <c r="F957" s="5" t="s">
        <v>1109</v>
      </c>
      <c r="G957" s="5" t="s">
        <v>39</v>
      </c>
      <c r="H957" s="5" t="s">
        <v>40</v>
      </c>
      <c r="I957" s="5" t="s">
        <v>796</v>
      </c>
      <c r="J957" s="5" t="n">
        <v>4</v>
      </c>
      <c r="K957" s="5"/>
      <c r="L957" s="6"/>
      <c r="M957" s="6"/>
      <c r="N957" s="6"/>
      <c r="O957" s="6"/>
      <c r="P957" s="5" t="str">
        <f aca="false">IF(M957="","",ROUND(M957*IFERROR(INDEX(Weights!$B$2:$B$4,MATCH(G957,Weights!$A$2:$A$4,0)),0)*IFERROR(INDEX(Weights!$B$7:$B$11,MATCH(E957,Weights!$A$7:$A$11,0)),0)*IFERROR(INDEX(Weights!$B$14:$B$17,MATCH(TEXT(J957,"0"),Weights!$A$14:$A$17,0)),0)/(1+N(N957)/50),1))</f>
        <v/>
      </c>
      <c r="Q957" s="5" t="s">
        <v>42</v>
      </c>
    </row>
    <row r="958" customFormat="false" ht="15" hidden="false" customHeight="false" outlineLevel="0" collapsed="false">
      <c r="A958" s="5" t="n">
        <v>957</v>
      </c>
      <c r="B958" s="5" t="s">
        <v>1120</v>
      </c>
      <c r="C958" s="5" t="s">
        <v>54</v>
      </c>
      <c r="D958" s="5" t="s">
        <v>36</v>
      </c>
      <c r="E958" s="5" t="s">
        <v>1108</v>
      </c>
      <c r="F958" s="5" t="s">
        <v>1109</v>
      </c>
      <c r="G958" s="5" t="s">
        <v>39</v>
      </c>
      <c r="H958" s="5" t="s">
        <v>40</v>
      </c>
      <c r="I958" s="5" t="s">
        <v>796</v>
      </c>
      <c r="J958" s="5" t="n">
        <v>4</v>
      </c>
      <c r="K958" s="5"/>
      <c r="L958" s="6"/>
      <c r="M958" s="6"/>
      <c r="N958" s="6"/>
      <c r="O958" s="6"/>
      <c r="P958" s="5" t="str">
        <f aca="false">IF(M958="","",ROUND(M958*IFERROR(INDEX(Weights!$B$2:$B$4,MATCH(G958,Weights!$A$2:$A$4,0)),0)*IFERROR(INDEX(Weights!$B$7:$B$11,MATCH(E958,Weights!$A$7:$A$11,0)),0)*IFERROR(INDEX(Weights!$B$14:$B$17,MATCH(TEXT(J958,"0"),Weights!$A$14:$A$17,0)),0)/(1+N(N958)/50),1))</f>
        <v/>
      </c>
      <c r="Q958" s="5" t="s">
        <v>42</v>
      </c>
    </row>
    <row r="959" customFormat="false" ht="15" hidden="false" customHeight="false" outlineLevel="0" collapsed="false">
      <c r="A959" s="5" t="n">
        <v>958</v>
      </c>
      <c r="B959" s="5" t="s">
        <v>1121</v>
      </c>
      <c r="C959" s="5" t="s">
        <v>57</v>
      </c>
      <c r="D959" s="5" t="s">
        <v>36</v>
      </c>
      <c r="E959" s="5" t="s">
        <v>1108</v>
      </c>
      <c r="F959" s="5" t="s">
        <v>1109</v>
      </c>
      <c r="G959" s="5" t="s">
        <v>39</v>
      </c>
      <c r="H959" s="5" t="s">
        <v>40</v>
      </c>
      <c r="I959" s="5" t="s">
        <v>796</v>
      </c>
      <c r="J959" s="5" t="n">
        <v>4</v>
      </c>
      <c r="K959" s="5"/>
      <c r="L959" s="6"/>
      <c r="M959" s="6"/>
      <c r="N959" s="6"/>
      <c r="O959" s="6"/>
      <c r="P959" s="5" t="str">
        <f aca="false">IF(M959="","",ROUND(M959*IFERROR(INDEX(Weights!$B$2:$B$4,MATCH(G959,Weights!$A$2:$A$4,0)),0)*IFERROR(INDEX(Weights!$B$7:$B$11,MATCH(E959,Weights!$A$7:$A$11,0)),0)*IFERROR(INDEX(Weights!$B$14:$B$17,MATCH(TEXT(J959,"0"),Weights!$A$14:$A$17,0)),0)/(1+N(N959)/50),1))</f>
        <v/>
      </c>
      <c r="Q959" s="5" t="s">
        <v>42</v>
      </c>
    </row>
    <row r="960" customFormat="false" ht="15" hidden="false" customHeight="false" outlineLevel="0" collapsed="false">
      <c r="A960" s="5" t="n">
        <v>959</v>
      </c>
      <c r="B960" s="5" t="s">
        <v>1122</v>
      </c>
      <c r="C960" s="5" t="s">
        <v>57</v>
      </c>
      <c r="D960" s="5" t="s">
        <v>36</v>
      </c>
      <c r="E960" s="5" t="s">
        <v>1108</v>
      </c>
      <c r="F960" s="5" t="s">
        <v>1109</v>
      </c>
      <c r="G960" s="5" t="s">
        <v>39</v>
      </c>
      <c r="H960" s="5" t="s">
        <v>40</v>
      </c>
      <c r="I960" s="5" t="s">
        <v>796</v>
      </c>
      <c r="J960" s="5" t="n">
        <v>4</v>
      </c>
      <c r="K960" s="5"/>
      <c r="L960" s="6"/>
      <c r="M960" s="6"/>
      <c r="N960" s="6"/>
      <c r="O960" s="6"/>
      <c r="P960" s="5" t="str">
        <f aca="false">IF(M960="","",ROUND(M960*IFERROR(INDEX(Weights!$B$2:$B$4,MATCH(G960,Weights!$A$2:$A$4,0)),0)*IFERROR(INDEX(Weights!$B$7:$B$11,MATCH(E960,Weights!$A$7:$A$11,0)),0)*IFERROR(INDEX(Weights!$B$14:$B$17,MATCH(TEXT(J960,"0"),Weights!$A$14:$A$17,0)),0)/(1+N(N960)/50),1))</f>
        <v/>
      </c>
      <c r="Q960" s="5" t="s">
        <v>42</v>
      </c>
    </row>
    <row r="961" customFormat="false" ht="15" hidden="false" customHeight="false" outlineLevel="0" collapsed="false">
      <c r="A961" s="5" t="n">
        <v>960</v>
      </c>
      <c r="B961" s="5" t="s">
        <v>1123</v>
      </c>
      <c r="C961" s="5" t="s">
        <v>57</v>
      </c>
      <c r="D961" s="5" t="s">
        <v>36</v>
      </c>
      <c r="E961" s="5" t="s">
        <v>1108</v>
      </c>
      <c r="F961" s="5" t="s">
        <v>1109</v>
      </c>
      <c r="G961" s="5" t="s">
        <v>39</v>
      </c>
      <c r="H961" s="5" t="s">
        <v>40</v>
      </c>
      <c r="I961" s="5" t="s">
        <v>796</v>
      </c>
      <c r="J961" s="5" t="n">
        <v>4</v>
      </c>
      <c r="K961" s="5"/>
      <c r="L961" s="6"/>
      <c r="M961" s="6"/>
      <c r="N961" s="6"/>
      <c r="O961" s="6"/>
      <c r="P961" s="5" t="str">
        <f aca="false">IF(M961="","",ROUND(M961*IFERROR(INDEX(Weights!$B$2:$B$4,MATCH(G961,Weights!$A$2:$A$4,0)),0)*IFERROR(INDEX(Weights!$B$7:$B$11,MATCH(E961,Weights!$A$7:$A$11,0)),0)*IFERROR(INDEX(Weights!$B$14:$B$17,MATCH(TEXT(J961,"0"),Weights!$A$14:$A$17,0)),0)/(1+N(N961)/50),1))</f>
        <v/>
      </c>
      <c r="Q961" s="5" t="s">
        <v>42</v>
      </c>
    </row>
    <row r="962" customFormat="false" ht="15" hidden="false" customHeight="false" outlineLevel="0" collapsed="false">
      <c r="A962" s="5" t="n">
        <v>961</v>
      </c>
      <c r="B962" s="5" t="s">
        <v>1124</v>
      </c>
      <c r="C962" s="5" t="s">
        <v>464</v>
      </c>
      <c r="D962" s="5" t="s">
        <v>36</v>
      </c>
      <c r="E962" s="5" t="s">
        <v>1108</v>
      </c>
      <c r="F962" s="5" t="s">
        <v>1109</v>
      </c>
      <c r="G962" s="5" t="s">
        <v>39</v>
      </c>
      <c r="H962" s="5" t="s">
        <v>40</v>
      </c>
      <c r="I962" s="5" t="s">
        <v>796</v>
      </c>
      <c r="J962" s="5" t="n">
        <v>4</v>
      </c>
      <c r="K962" s="5"/>
      <c r="L962" s="6"/>
      <c r="M962" s="6"/>
      <c r="N962" s="6"/>
      <c r="O962" s="6"/>
      <c r="P962" s="5" t="str">
        <f aca="false">IF(M962="","",ROUND(M962*IFERROR(INDEX(Weights!$B$2:$B$4,MATCH(G962,Weights!$A$2:$A$4,0)),0)*IFERROR(INDEX(Weights!$B$7:$B$11,MATCH(E962,Weights!$A$7:$A$11,0)),0)*IFERROR(INDEX(Weights!$B$14:$B$17,MATCH(TEXT(J962,"0"),Weights!$A$14:$A$17,0)),0)/(1+N(N962)/50),1))</f>
        <v/>
      </c>
      <c r="Q962" s="5" t="s">
        <v>42</v>
      </c>
    </row>
    <row r="963" customFormat="false" ht="15" hidden="false" customHeight="false" outlineLevel="0" collapsed="false">
      <c r="A963" s="5" t="n">
        <v>962</v>
      </c>
      <c r="B963" s="5" t="s">
        <v>1125</v>
      </c>
      <c r="C963" s="5" t="s">
        <v>464</v>
      </c>
      <c r="D963" s="5" t="s">
        <v>36</v>
      </c>
      <c r="E963" s="5" t="s">
        <v>1108</v>
      </c>
      <c r="F963" s="5" t="s">
        <v>1109</v>
      </c>
      <c r="G963" s="5" t="s">
        <v>39</v>
      </c>
      <c r="H963" s="5" t="s">
        <v>40</v>
      </c>
      <c r="I963" s="5" t="s">
        <v>796</v>
      </c>
      <c r="J963" s="5" t="n">
        <v>4</v>
      </c>
      <c r="K963" s="5"/>
      <c r="L963" s="6"/>
      <c r="M963" s="6"/>
      <c r="N963" s="6"/>
      <c r="O963" s="6"/>
      <c r="P963" s="5" t="str">
        <f aca="false">IF(M963="","",ROUND(M963*IFERROR(INDEX(Weights!$B$2:$B$4,MATCH(G963,Weights!$A$2:$A$4,0)),0)*IFERROR(INDEX(Weights!$B$7:$B$11,MATCH(E963,Weights!$A$7:$A$11,0)),0)*IFERROR(INDEX(Weights!$B$14:$B$17,MATCH(TEXT(J963,"0"),Weights!$A$14:$A$17,0)),0)/(1+N(N963)/50),1))</f>
        <v/>
      </c>
      <c r="Q963" s="5" t="s">
        <v>42</v>
      </c>
    </row>
    <row r="964" customFormat="false" ht="15" hidden="false" customHeight="false" outlineLevel="0" collapsed="false">
      <c r="A964" s="5" t="n">
        <v>963</v>
      </c>
      <c r="B964" s="5" t="s">
        <v>1126</v>
      </c>
      <c r="C964" s="5" t="s">
        <v>464</v>
      </c>
      <c r="D964" s="5" t="s">
        <v>36</v>
      </c>
      <c r="E964" s="5" t="s">
        <v>1108</v>
      </c>
      <c r="F964" s="5" t="s">
        <v>1109</v>
      </c>
      <c r="G964" s="5" t="s">
        <v>39</v>
      </c>
      <c r="H964" s="5" t="s">
        <v>40</v>
      </c>
      <c r="I964" s="5" t="s">
        <v>796</v>
      </c>
      <c r="J964" s="5" t="n">
        <v>4</v>
      </c>
      <c r="K964" s="5"/>
      <c r="L964" s="6"/>
      <c r="M964" s="6"/>
      <c r="N964" s="6"/>
      <c r="O964" s="6"/>
      <c r="P964" s="5" t="str">
        <f aca="false">IF(M964="","",ROUND(M964*IFERROR(INDEX(Weights!$B$2:$B$4,MATCH(G964,Weights!$A$2:$A$4,0)),0)*IFERROR(INDEX(Weights!$B$7:$B$11,MATCH(E964,Weights!$A$7:$A$11,0)),0)*IFERROR(INDEX(Weights!$B$14:$B$17,MATCH(TEXT(J964,"0"),Weights!$A$14:$A$17,0)),0)/(1+N(N964)/50),1))</f>
        <v/>
      </c>
      <c r="Q964" s="5" t="s">
        <v>42</v>
      </c>
    </row>
    <row r="965" customFormat="false" ht="15" hidden="false" customHeight="false" outlineLevel="0" collapsed="false">
      <c r="A965" s="5" t="n">
        <v>964</v>
      </c>
      <c r="B965" s="5" t="s">
        <v>1127</v>
      </c>
      <c r="C965" s="5" t="s">
        <v>456</v>
      </c>
      <c r="D965" s="5" t="s">
        <v>36</v>
      </c>
      <c r="E965" s="5" t="s">
        <v>1108</v>
      </c>
      <c r="F965" s="5" t="s">
        <v>1109</v>
      </c>
      <c r="G965" s="5" t="s">
        <v>39</v>
      </c>
      <c r="H965" s="5" t="s">
        <v>40</v>
      </c>
      <c r="I965" s="5" t="s">
        <v>796</v>
      </c>
      <c r="J965" s="5" t="n">
        <v>4</v>
      </c>
      <c r="K965" s="5"/>
      <c r="L965" s="6"/>
      <c r="M965" s="6"/>
      <c r="N965" s="6"/>
      <c r="O965" s="6"/>
      <c r="P965" s="5" t="str">
        <f aca="false">IF(M965="","",ROUND(M965*IFERROR(INDEX(Weights!$B$2:$B$4,MATCH(G965,Weights!$A$2:$A$4,0)),0)*IFERROR(INDEX(Weights!$B$7:$B$11,MATCH(E965,Weights!$A$7:$A$11,0)),0)*IFERROR(INDEX(Weights!$B$14:$B$17,MATCH(TEXT(J965,"0"),Weights!$A$14:$A$17,0)),0)/(1+N(N965)/50),1))</f>
        <v/>
      </c>
      <c r="Q965" s="5" t="s">
        <v>42</v>
      </c>
    </row>
    <row r="966" customFormat="false" ht="15" hidden="false" customHeight="false" outlineLevel="0" collapsed="false">
      <c r="A966" s="5" t="n">
        <v>965</v>
      </c>
      <c r="B966" s="5" t="s">
        <v>1128</v>
      </c>
      <c r="C966" s="5" t="s">
        <v>456</v>
      </c>
      <c r="D966" s="5" t="s">
        <v>36</v>
      </c>
      <c r="E966" s="5" t="s">
        <v>1108</v>
      </c>
      <c r="F966" s="5" t="s">
        <v>1109</v>
      </c>
      <c r="G966" s="5" t="s">
        <v>39</v>
      </c>
      <c r="H966" s="5" t="s">
        <v>40</v>
      </c>
      <c r="I966" s="5" t="s">
        <v>796</v>
      </c>
      <c r="J966" s="5" t="n">
        <v>4</v>
      </c>
      <c r="K966" s="5"/>
      <c r="L966" s="6"/>
      <c r="M966" s="6"/>
      <c r="N966" s="6"/>
      <c r="O966" s="6"/>
      <c r="P966" s="5" t="str">
        <f aca="false">IF(M966="","",ROUND(M966*IFERROR(INDEX(Weights!$B$2:$B$4,MATCH(G966,Weights!$A$2:$A$4,0)),0)*IFERROR(INDEX(Weights!$B$7:$B$11,MATCH(E966,Weights!$A$7:$A$11,0)),0)*IFERROR(INDEX(Weights!$B$14:$B$17,MATCH(TEXT(J966,"0"),Weights!$A$14:$A$17,0)),0)/(1+N(N966)/50),1))</f>
        <v/>
      </c>
      <c r="Q966" s="5" t="s">
        <v>42</v>
      </c>
    </row>
    <row r="967" customFormat="false" ht="15" hidden="false" customHeight="false" outlineLevel="0" collapsed="false">
      <c r="A967" s="5" t="n">
        <v>966</v>
      </c>
      <c r="B967" s="5" t="s">
        <v>1129</v>
      </c>
      <c r="C967" s="5" t="s">
        <v>64</v>
      </c>
      <c r="D967" s="5" t="s">
        <v>36</v>
      </c>
      <c r="E967" s="5" t="s">
        <v>1108</v>
      </c>
      <c r="F967" s="5" t="s">
        <v>1109</v>
      </c>
      <c r="G967" s="5" t="s">
        <v>39</v>
      </c>
      <c r="H967" s="5" t="s">
        <v>40</v>
      </c>
      <c r="I967" s="5" t="s">
        <v>796</v>
      </c>
      <c r="J967" s="5" t="n">
        <v>4</v>
      </c>
      <c r="K967" s="5"/>
      <c r="L967" s="6"/>
      <c r="M967" s="6"/>
      <c r="N967" s="6"/>
      <c r="O967" s="6"/>
      <c r="P967" s="5" t="str">
        <f aca="false">IF(M967="","",ROUND(M967*IFERROR(INDEX(Weights!$B$2:$B$4,MATCH(G967,Weights!$A$2:$A$4,0)),0)*IFERROR(INDEX(Weights!$B$7:$B$11,MATCH(E967,Weights!$A$7:$A$11,0)),0)*IFERROR(INDEX(Weights!$B$14:$B$17,MATCH(TEXT(J967,"0"),Weights!$A$14:$A$17,0)),0)/(1+N(N967)/50),1))</f>
        <v/>
      </c>
      <c r="Q967" s="5" t="s">
        <v>42</v>
      </c>
    </row>
    <row r="968" customFormat="false" ht="15" hidden="false" customHeight="false" outlineLevel="0" collapsed="false">
      <c r="A968" s="5" t="n">
        <v>967</v>
      </c>
      <c r="B968" s="5" t="s">
        <v>1130</v>
      </c>
      <c r="C968" s="5" t="s">
        <v>64</v>
      </c>
      <c r="D968" s="5" t="s">
        <v>36</v>
      </c>
      <c r="E968" s="5" t="s">
        <v>1108</v>
      </c>
      <c r="F968" s="5" t="s">
        <v>1109</v>
      </c>
      <c r="G968" s="5" t="s">
        <v>39</v>
      </c>
      <c r="H968" s="5" t="s">
        <v>40</v>
      </c>
      <c r="I968" s="5" t="s">
        <v>796</v>
      </c>
      <c r="J968" s="5" t="n">
        <v>4</v>
      </c>
      <c r="K968" s="5"/>
      <c r="L968" s="6"/>
      <c r="M968" s="6"/>
      <c r="N968" s="6"/>
      <c r="O968" s="6"/>
      <c r="P968" s="5" t="str">
        <f aca="false">IF(M968="","",ROUND(M968*IFERROR(INDEX(Weights!$B$2:$B$4,MATCH(G968,Weights!$A$2:$A$4,0)),0)*IFERROR(INDEX(Weights!$B$7:$B$11,MATCH(E968,Weights!$A$7:$A$11,0)),0)*IFERROR(INDEX(Weights!$B$14:$B$17,MATCH(TEXT(J968,"0"),Weights!$A$14:$A$17,0)),0)/(1+N(N968)/50),1))</f>
        <v/>
      </c>
      <c r="Q968" s="5" t="s">
        <v>42</v>
      </c>
    </row>
    <row r="969" customFormat="false" ht="15" hidden="false" customHeight="false" outlineLevel="0" collapsed="false">
      <c r="A969" s="5" t="n">
        <v>968</v>
      </c>
      <c r="B969" s="5" t="s">
        <v>1131</v>
      </c>
      <c r="C969" s="5" t="s">
        <v>61</v>
      </c>
      <c r="D969" s="5" t="s">
        <v>36</v>
      </c>
      <c r="E969" s="5" t="s">
        <v>1108</v>
      </c>
      <c r="F969" s="5" t="s">
        <v>1109</v>
      </c>
      <c r="G969" s="5" t="s">
        <v>39</v>
      </c>
      <c r="H969" s="5" t="s">
        <v>40</v>
      </c>
      <c r="I969" s="5" t="s">
        <v>796</v>
      </c>
      <c r="J969" s="5" t="n">
        <v>4</v>
      </c>
      <c r="K969" s="5"/>
      <c r="L969" s="6"/>
      <c r="M969" s="6"/>
      <c r="N969" s="6"/>
      <c r="O969" s="6"/>
      <c r="P969" s="5" t="str">
        <f aca="false">IF(M969="","",ROUND(M969*IFERROR(INDEX(Weights!$B$2:$B$4,MATCH(G969,Weights!$A$2:$A$4,0)),0)*IFERROR(INDEX(Weights!$B$7:$B$11,MATCH(E969,Weights!$A$7:$A$11,0)),0)*IFERROR(INDEX(Weights!$B$14:$B$17,MATCH(TEXT(J969,"0"),Weights!$A$14:$A$17,0)),0)/(1+N(N969)/50),1))</f>
        <v/>
      </c>
      <c r="Q969" s="5" t="s">
        <v>42</v>
      </c>
    </row>
    <row r="970" customFormat="false" ht="15" hidden="false" customHeight="false" outlineLevel="0" collapsed="false">
      <c r="A970" s="5" t="n">
        <v>969</v>
      </c>
      <c r="B970" s="5" t="s">
        <v>1132</v>
      </c>
      <c r="C970" s="5" t="s">
        <v>66</v>
      </c>
      <c r="D970" s="5" t="s">
        <v>36</v>
      </c>
      <c r="E970" s="5" t="s">
        <v>1108</v>
      </c>
      <c r="F970" s="5" t="s">
        <v>1109</v>
      </c>
      <c r="G970" s="5" t="s">
        <v>39</v>
      </c>
      <c r="H970" s="5" t="s">
        <v>40</v>
      </c>
      <c r="I970" s="5" t="s">
        <v>796</v>
      </c>
      <c r="J970" s="5" t="n">
        <v>4</v>
      </c>
      <c r="K970" s="5"/>
      <c r="L970" s="6"/>
      <c r="M970" s="6"/>
      <c r="N970" s="6"/>
      <c r="O970" s="6"/>
      <c r="P970" s="5" t="str">
        <f aca="false">IF(M970="","",ROUND(M970*IFERROR(INDEX(Weights!$B$2:$B$4,MATCH(G970,Weights!$A$2:$A$4,0)),0)*IFERROR(INDEX(Weights!$B$7:$B$11,MATCH(E970,Weights!$A$7:$A$11,0)),0)*IFERROR(INDEX(Weights!$B$14:$B$17,MATCH(TEXT(J970,"0"),Weights!$A$14:$A$17,0)),0)/(1+N(N970)/50),1))</f>
        <v/>
      </c>
      <c r="Q970" s="5" t="s">
        <v>42</v>
      </c>
    </row>
    <row r="971" customFormat="false" ht="15" hidden="false" customHeight="false" outlineLevel="0" collapsed="false">
      <c r="A971" s="5" t="n">
        <v>970</v>
      </c>
      <c r="B971" s="5" t="s">
        <v>1133</v>
      </c>
      <c r="C971" s="5" t="s">
        <v>69</v>
      </c>
      <c r="D971" s="5" t="s">
        <v>36</v>
      </c>
      <c r="E971" s="5" t="s">
        <v>1108</v>
      </c>
      <c r="F971" s="5" t="s">
        <v>1109</v>
      </c>
      <c r="G971" s="5" t="s">
        <v>39</v>
      </c>
      <c r="H971" s="5" t="s">
        <v>40</v>
      </c>
      <c r="I971" s="5" t="s">
        <v>796</v>
      </c>
      <c r="J971" s="5" t="n">
        <v>4</v>
      </c>
      <c r="K971" s="5"/>
      <c r="L971" s="6"/>
      <c r="M971" s="6"/>
      <c r="N971" s="6"/>
      <c r="O971" s="6"/>
      <c r="P971" s="5" t="str">
        <f aca="false">IF(M971="","",ROUND(M971*IFERROR(INDEX(Weights!$B$2:$B$4,MATCH(G971,Weights!$A$2:$A$4,0)),0)*IFERROR(INDEX(Weights!$B$7:$B$11,MATCH(E971,Weights!$A$7:$A$11,0)),0)*IFERROR(INDEX(Weights!$B$14:$B$17,MATCH(TEXT(J971,"0"),Weights!$A$14:$A$17,0)),0)/(1+N(N971)/50),1))</f>
        <v/>
      </c>
      <c r="Q971" s="5" t="s">
        <v>42</v>
      </c>
    </row>
    <row r="972" customFormat="false" ht="15" hidden="false" customHeight="false" outlineLevel="0" collapsed="false">
      <c r="A972" s="5" t="n">
        <v>971</v>
      </c>
      <c r="B972" s="5" t="s">
        <v>1134</v>
      </c>
      <c r="C972" s="5" t="s">
        <v>35</v>
      </c>
      <c r="D972" s="5" t="s">
        <v>36</v>
      </c>
      <c r="E972" s="5" t="s">
        <v>1108</v>
      </c>
      <c r="F972" s="5" t="s">
        <v>1135</v>
      </c>
      <c r="G972" s="5" t="s">
        <v>39</v>
      </c>
      <c r="H972" s="5" t="s">
        <v>40</v>
      </c>
      <c r="I972" s="5" t="s">
        <v>796</v>
      </c>
      <c r="J972" s="5" t="n">
        <v>4</v>
      </c>
      <c r="K972" s="5"/>
      <c r="L972" s="6"/>
      <c r="M972" s="6"/>
      <c r="N972" s="6"/>
      <c r="O972" s="6"/>
      <c r="P972" s="5" t="str">
        <f aca="false">IF(M972="","",ROUND(M972*IFERROR(INDEX(Weights!$B$2:$B$4,MATCH(G972,Weights!$A$2:$A$4,0)),0)*IFERROR(INDEX(Weights!$B$7:$B$11,MATCH(E972,Weights!$A$7:$A$11,0)),0)*IFERROR(INDEX(Weights!$B$14:$B$17,MATCH(TEXT(J972,"0"),Weights!$A$14:$A$17,0)),0)/(1+N(N972)/50),1))</f>
        <v/>
      </c>
      <c r="Q972" s="5" t="s">
        <v>42</v>
      </c>
    </row>
    <row r="973" customFormat="false" ht="15" hidden="false" customHeight="false" outlineLevel="0" collapsed="false">
      <c r="A973" s="5" t="n">
        <v>972</v>
      </c>
      <c r="B973" s="5" t="s">
        <v>1136</v>
      </c>
      <c r="C973" s="5" t="s">
        <v>35</v>
      </c>
      <c r="D973" s="5" t="s">
        <v>36</v>
      </c>
      <c r="E973" s="5" t="s">
        <v>1108</v>
      </c>
      <c r="F973" s="5" t="s">
        <v>1135</v>
      </c>
      <c r="G973" s="5" t="s">
        <v>39</v>
      </c>
      <c r="H973" s="5" t="s">
        <v>40</v>
      </c>
      <c r="I973" s="5" t="s">
        <v>796</v>
      </c>
      <c r="J973" s="5" t="n">
        <v>4</v>
      </c>
      <c r="K973" s="5"/>
      <c r="L973" s="6"/>
      <c r="M973" s="6"/>
      <c r="N973" s="6"/>
      <c r="O973" s="6"/>
      <c r="P973" s="5" t="str">
        <f aca="false">IF(M973="","",ROUND(M973*IFERROR(INDEX(Weights!$B$2:$B$4,MATCH(G973,Weights!$A$2:$A$4,0)),0)*IFERROR(INDEX(Weights!$B$7:$B$11,MATCH(E973,Weights!$A$7:$A$11,0)),0)*IFERROR(INDEX(Weights!$B$14:$B$17,MATCH(TEXT(J973,"0"),Weights!$A$14:$A$17,0)),0)/(1+N(N973)/50),1))</f>
        <v/>
      </c>
      <c r="Q973" s="5" t="s">
        <v>42</v>
      </c>
    </row>
    <row r="974" customFormat="false" ht="15" hidden="false" customHeight="false" outlineLevel="0" collapsed="false">
      <c r="A974" s="5" t="n">
        <v>973</v>
      </c>
      <c r="B974" s="5" t="s">
        <v>1137</v>
      </c>
      <c r="C974" s="5" t="s">
        <v>35</v>
      </c>
      <c r="D974" s="5" t="s">
        <v>36</v>
      </c>
      <c r="E974" s="5" t="s">
        <v>1108</v>
      </c>
      <c r="F974" s="5" t="s">
        <v>1135</v>
      </c>
      <c r="G974" s="5" t="s">
        <v>39</v>
      </c>
      <c r="H974" s="5" t="s">
        <v>40</v>
      </c>
      <c r="I974" s="5" t="s">
        <v>796</v>
      </c>
      <c r="J974" s="5" t="n">
        <v>4</v>
      </c>
      <c r="K974" s="5"/>
      <c r="L974" s="6"/>
      <c r="M974" s="6"/>
      <c r="N974" s="6"/>
      <c r="O974" s="6"/>
      <c r="P974" s="5" t="str">
        <f aca="false">IF(M974="","",ROUND(M974*IFERROR(INDEX(Weights!$B$2:$B$4,MATCH(G974,Weights!$A$2:$A$4,0)),0)*IFERROR(INDEX(Weights!$B$7:$B$11,MATCH(E974,Weights!$A$7:$A$11,0)),0)*IFERROR(INDEX(Weights!$B$14:$B$17,MATCH(TEXT(J974,"0"),Weights!$A$14:$A$17,0)),0)/(1+N(N974)/50),1))</f>
        <v/>
      </c>
      <c r="Q974" s="5" t="s">
        <v>42</v>
      </c>
    </row>
    <row r="975" customFormat="false" ht="15" hidden="false" customHeight="false" outlineLevel="0" collapsed="false">
      <c r="A975" s="5" t="n">
        <v>974</v>
      </c>
      <c r="B975" s="5" t="s">
        <v>1138</v>
      </c>
      <c r="C975" s="5" t="s">
        <v>47</v>
      </c>
      <c r="D975" s="5" t="s">
        <v>36</v>
      </c>
      <c r="E975" s="5" t="s">
        <v>1108</v>
      </c>
      <c r="F975" s="5" t="s">
        <v>1135</v>
      </c>
      <c r="G975" s="5" t="s">
        <v>39</v>
      </c>
      <c r="H975" s="5" t="s">
        <v>40</v>
      </c>
      <c r="I975" s="5" t="s">
        <v>796</v>
      </c>
      <c r="J975" s="5" t="n">
        <v>4</v>
      </c>
      <c r="K975" s="5"/>
      <c r="L975" s="6"/>
      <c r="M975" s="6"/>
      <c r="N975" s="6"/>
      <c r="O975" s="6"/>
      <c r="P975" s="5" t="str">
        <f aca="false">IF(M975="","",ROUND(M975*IFERROR(INDEX(Weights!$B$2:$B$4,MATCH(G975,Weights!$A$2:$A$4,0)),0)*IFERROR(INDEX(Weights!$B$7:$B$11,MATCH(E975,Weights!$A$7:$A$11,0)),0)*IFERROR(INDEX(Weights!$B$14:$B$17,MATCH(TEXT(J975,"0"),Weights!$A$14:$A$17,0)),0)/(1+N(N975)/50),1))</f>
        <v/>
      </c>
      <c r="Q975" s="5" t="s">
        <v>42</v>
      </c>
    </row>
    <row r="976" customFormat="false" ht="15" hidden="false" customHeight="false" outlineLevel="0" collapsed="false">
      <c r="A976" s="5" t="n">
        <v>975</v>
      </c>
      <c r="B976" s="5" t="s">
        <v>1139</v>
      </c>
      <c r="C976" s="5" t="s">
        <v>47</v>
      </c>
      <c r="D976" s="5" t="s">
        <v>36</v>
      </c>
      <c r="E976" s="5" t="s">
        <v>1108</v>
      </c>
      <c r="F976" s="5" t="s">
        <v>1135</v>
      </c>
      <c r="G976" s="5" t="s">
        <v>39</v>
      </c>
      <c r="H976" s="5" t="s">
        <v>40</v>
      </c>
      <c r="I976" s="5" t="s">
        <v>796</v>
      </c>
      <c r="J976" s="5" t="n">
        <v>4</v>
      </c>
      <c r="K976" s="5"/>
      <c r="L976" s="6"/>
      <c r="M976" s="6"/>
      <c r="N976" s="6"/>
      <c r="O976" s="6"/>
      <c r="P976" s="5" t="str">
        <f aca="false">IF(M976="","",ROUND(M976*IFERROR(INDEX(Weights!$B$2:$B$4,MATCH(G976,Weights!$A$2:$A$4,0)),0)*IFERROR(INDEX(Weights!$B$7:$B$11,MATCH(E976,Weights!$A$7:$A$11,0)),0)*IFERROR(INDEX(Weights!$B$14:$B$17,MATCH(TEXT(J976,"0"),Weights!$A$14:$A$17,0)),0)/(1+N(N976)/50),1))</f>
        <v/>
      </c>
      <c r="Q976" s="5" t="s">
        <v>42</v>
      </c>
    </row>
    <row r="977" customFormat="false" ht="15" hidden="false" customHeight="false" outlineLevel="0" collapsed="false">
      <c r="A977" s="5" t="n">
        <v>976</v>
      </c>
      <c r="B977" s="5" t="s">
        <v>1140</v>
      </c>
      <c r="C977" s="5" t="s">
        <v>47</v>
      </c>
      <c r="D977" s="5" t="s">
        <v>36</v>
      </c>
      <c r="E977" s="5" t="s">
        <v>1108</v>
      </c>
      <c r="F977" s="5" t="s">
        <v>1135</v>
      </c>
      <c r="G977" s="5" t="s">
        <v>39</v>
      </c>
      <c r="H977" s="5" t="s">
        <v>40</v>
      </c>
      <c r="I977" s="5" t="s">
        <v>796</v>
      </c>
      <c r="J977" s="5" t="n">
        <v>4</v>
      </c>
      <c r="K977" s="5"/>
      <c r="L977" s="6"/>
      <c r="M977" s="6"/>
      <c r="N977" s="6"/>
      <c r="O977" s="6"/>
      <c r="P977" s="5" t="str">
        <f aca="false">IF(M977="","",ROUND(M977*IFERROR(INDEX(Weights!$B$2:$B$4,MATCH(G977,Weights!$A$2:$A$4,0)),0)*IFERROR(INDEX(Weights!$B$7:$B$11,MATCH(E977,Weights!$A$7:$A$11,0)),0)*IFERROR(INDEX(Weights!$B$14:$B$17,MATCH(TEXT(J977,"0"),Weights!$A$14:$A$17,0)),0)/(1+N(N977)/50),1))</f>
        <v/>
      </c>
      <c r="Q977" s="5" t="s">
        <v>42</v>
      </c>
    </row>
    <row r="978" customFormat="false" ht="15" hidden="false" customHeight="false" outlineLevel="0" collapsed="false">
      <c r="A978" s="5" t="n">
        <v>977</v>
      </c>
      <c r="B978" s="5" t="s">
        <v>1141</v>
      </c>
      <c r="C978" s="5" t="s">
        <v>47</v>
      </c>
      <c r="D978" s="5" t="s">
        <v>36</v>
      </c>
      <c r="E978" s="5" t="s">
        <v>1108</v>
      </c>
      <c r="F978" s="5" t="s">
        <v>1135</v>
      </c>
      <c r="G978" s="5" t="s">
        <v>39</v>
      </c>
      <c r="H978" s="5" t="s">
        <v>40</v>
      </c>
      <c r="I978" s="5" t="s">
        <v>796</v>
      </c>
      <c r="J978" s="5" t="n">
        <v>4</v>
      </c>
      <c r="K978" s="5"/>
      <c r="L978" s="6"/>
      <c r="M978" s="6"/>
      <c r="N978" s="6"/>
      <c r="O978" s="6"/>
      <c r="P978" s="5" t="str">
        <f aca="false">IF(M978="","",ROUND(M978*IFERROR(INDEX(Weights!$B$2:$B$4,MATCH(G978,Weights!$A$2:$A$4,0)),0)*IFERROR(INDEX(Weights!$B$7:$B$11,MATCH(E978,Weights!$A$7:$A$11,0)),0)*IFERROR(INDEX(Weights!$B$14:$B$17,MATCH(TEXT(J978,"0"),Weights!$A$14:$A$17,0)),0)/(1+N(N978)/50),1))</f>
        <v/>
      </c>
      <c r="Q978" s="5" t="s">
        <v>42</v>
      </c>
    </row>
    <row r="979" customFormat="false" ht="15" hidden="false" customHeight="false" outlineLevel="0" collapsed="false">
      <c r="A979" s="5" t="n">
        <v>978</v>
      </c>
      <c r="B979" s="5" t="s">
        <v>1142</v>
      </c>
      <c r="C979" s="5" t="s">
        <v>51</v>
      </c>
      <c r="D979" s="5" t="s">
        <v>36</v>
      </c>
      <c r="E979" s="5" t="s">
        <v>1108</v>
      </c>
      <c r="F979" s="5" t="s">
        <v>1135</v>
      </c>
      <c r="G979" s="5" t="s">
        <v>39</v>
      </c>
      <c r="H979" s="5" t="s">
        <v>40</v>
      </c>
      <c r="I979" s="5" t="s">
        <v>796</v>
      </c>
      <c r="J979" s="5" t="n">
        <v>4</v>
      </c>
      <c r="K979" s="5"/>
      <c r="L979" s="6"/>
      <c r="M979" s="6"/>
      <c r="N979" s="6"/>
      <c r="O979" s="6"/>
      <c r="P979" s="5" t="str">
        <f aca="false">IF(M979="","",ROUND(M979*IFERROR(INDEX(Weights!$B$2:$B$4,MATCH(G979,Weights!$A$2:$A$4,0)),0)*IFERROR(INDEX(Weights!$B$7:$B$11,MATCH(E979,Weights!$A$7:$A$11,0)),0)*IFERROR(INDEX(Weights!$B$14:$B$17,MATCH(TEXT(J979,"0"),Weights!$A$14:$A$17,0)),0)/(1+N(N979)/50),1))</f>
        <v/>
      </c>
      <c r="Q979" s="5" t="s">
        <v>42</v>
      </c>
    </row>
    <row r="980" customFormat="false" ht="15" hidden="false" customHeight="false" outlineLevel="0" collapsed="false">
      <c r="A980" s="5" t="n">
        <v>979</v>
      </c>
      <c r="B980" s="5" t="s">
        <v>1143</v>
      </c>
      <c r="C980" s="5" t="s">
        <v>51</v>
      </c>
      <c r="D980" s="5" t="s">
        <v>36</v>
      </c>
      <c r="E980" s="5" t="s">
        <v>1108</v>
      </c>
      <c r="F980" s="5" t="s">
        <v>1135</v>
      </c>
      <c r="G980" s="5" t="s">
        <v>39</v>
      </c>
      <c r="H980" s="5" t="s">
        <v>40</v>
      </c>
      <c r="I980" s="5" t="s">
        <v>796</v>
      </c>
      <c r="J980" s="5" t="n">
        <v>4</v>
      </c>
      <c r="K980" s="5"/>
      <c r="L980" s="6"/>
      <c r="M980" s="6"/>
      <c r="N980" s="6"/>
      <c r="O980" s="6"/>
      <c r="P980" s="5" t="str">
        <f aca="false">IF(M980="","",ROUND(M980*IFERROR(INDEX(Weights!$B$2:$B$4,MATCH(G980,Weights!$A$2:$A$4,0)),0)*IFERROR(INDEX(Weights!$B$7:$B$11,MATCH(E980,Weights!$A$7:$A$11,0)),0)*IFERROR(INDEX(Weights!$B$14:$B$17,MATCH(TEXT(J980,"0"),Weights!$A$14:$A$17,0)),0)/(1+N(N980)/50),1))</f>
        <v/>
      </c>
      <c r="Q980" s="5" t="s">
        <v>42</v>
      </c>
    </row>
    <row r="981" customFormat="false" ht="15" hidden="false" customHeight="false" outlineLevel="0" collapsed="false">
      <c r="A981" s="5" t="n">
        <v>980</v>
      </c>
      <c r="B981" s="5" t="s">
        <v>1144</v>
      </c>
      <c r="C981" s="5" t="s">
        <v>51</v>
      </c>
      <c r="D981" s="5" t="s">
        <v>36</v>
      </c>
      <c r="E981" s="5" t="s">
        <v>1108</v>
      </c>
      <c r="F981" s="5" t="s">
        <v>1135</v>
      </c>
      <c r="G981" s="5" t="s">
        <v>39</v>
      </c>
      <c r="H981" s="5" t="s">
        <v>40</v>
      </c>
      <c r="I981" s="5" t="s">
        <v>796</v>
      </c>
      <c r="J981" s="5" t="n">
        <v>4</v>
      </c>
      <c r="K981" s="5"/>
      <c r="L981" s="6"/>
      <c r="M981" s="6"/>
      <c r="N981" s="6"/>
      <c r="O981" s="6"/>
      <c r="P981" s="5" t="str">
        <f aca="false">IF(M981="","",ROUND(M981*IFERROR(INDEX(Weights!$B$2:$B$4,MATCH(G981,Weights!$A$2:$A$4,0)),0)*IFERROR(INDEX(Weights!$B$7:$B$11,MATCH(E981,Weights!$A$7:$A$11,0)),0)*IFERROR(INDEX(Weights!$B$14:$B$17,MATCH(TEXT(J981,"0"),Weights!$A$14:$A$17,0)),0)/(1+N(N981)/50),1))</f>
        <v/>
      </c>
      <c r="Q981" s="5" t="s">
        <v>42</v>
      </c>
    </row>
    <row r="982" customFormat="false" ht="15" hidden="false" customHeight="false" outlineLevel="0" collapsed="false">
      <c r="A982" s="5" t="n">
        <v>981</v>
      </c>
      <c r="B982" s="5" t="s">
        <v>1145</v>
      </c>
      <c r="C982" s="5" t="s">
        <v>54</v>
      </c>
      <c r="D982" s="5" t="s">
        <v>36</v>
      </c>
      <c r="E982" s="5" t="s">
        <v>1108</v>
      </c>
      <c r="F982" s="5" t="s">
        <v>1135</v>
      </c>
      <c r="G982" s="5" t="s">
        <v>39</v>
      </c>
      <c r="H982" s="5" t="s">
        <v>40</v>
      </c>
      <c r="I982" s="5" t="s">
        <v>796</v>
      </c>
      <c r="J982" s="5" t="n">
        <v>4</v>
      </c>
      <c r="K982" s="5"/>
      <c r="L982" s="6"/>
      <c r="M982" s="6"/>
      <c r="N982" s="6"/>
      <c r="O982" s="6"/>
      <c r="P982" s="5" t="str">
        <f aca="false">IF(M982="","",ROUND(M982*IFERROR(INDEX(Weights!$B$2:$B$4,MATCH(G982,Weights!$A$2:$A$4,0)),0)*IFERROR(INDEX(Weights!$B$7:$B$11,MATCH(E982,Weights!$A$7:$A$11,0)),0)*IFERROR(INDEX(Weights!$B$14:$B$17,MATCH(TEXT(J982,"0"),Weights!$A$14:$A$17,0)),0)/(1+N(N982)/50),1))</f>
        <v/>
      </c>
      <c r="Q982" s="5" t="s">
        <v>42</v>
      </c>
    </row>
    <row r="983" customFormat="false" ht="15" hidden="false" customHeight="false" outlineLevel="0" collapsed="false">
      <c r="A983" s="5" t="n">
        <v>982</v>
      </c>
      <c r="B983" s="5" t="s">
        <v>1146</v>
      </c>
      <c r="C983" s="5" t="s">
        <v>54</v>
      </c>
      <c r="D983" s="5" t="s">
        <v>36</v>
      </c>
      <c r="E983" s="5" t="s">
        <v>1108</v>
      </c>
      <c r="F983" s="5" t="s">
        <v>1135</v>
      </c>
      <c r="G983" s="5" t="s">
        <v>39</v>
      </c>
      <c r="H983" s="5" t="s">
        <v>40</v>
      </c>
      <c r="I983" s="5" t="s">
        <v>796</v>
      </c>
      <c r="J983" s="5" t="n">
        <v>4</v>
      </c>
      <c r="K983" s="5"/>
      <c r="L983" s="6"/>
      <c r="M983" s="6"/>
      <c r="N983" s="6"/>
      <c r="O983" s="6"/>
      <c r="P983" s="5" t="str">
        <f aca="false">IF(M983="","",ROUND(M983*IFERROR(INDEX(Weights!$B$2:$B$4,MATCH(G983,Weights!$A$2:$A$4,0)),0)*IFERROR(INDEX(Weights!$B$7:$B$11,MATCH(E983,Weights!$A$7:$A$11,0)),0)*IFERROR(INDEX(Weights!$B$14:$B$17,MATCH(TEXT(J983,"0"),Weights!$A$14:$A$17,0)),0)/(1+N(N983)/50),1))</f>
        <v/>
      </c>
      <c r="Q983" s="5" t="s">
        <v>42</v>
      </c>
    </row>
    <row r="984" customFormat="false" ht="15" hidden="false" customHeight="false" outlineLevel="0" collapsed="false">
      <c r="A984" s="5" t="n">
        <v>983</v>
      </c>
      <c r="B984" s="5" t="s">
        <v>1147</v>
      </c>
      <c r="C984" s="5" t="s">
        <v>57</v>
      </c>
      <c r="D984" s="5" t="s">
        <v>36</v>
      </c>
      <c r="E984" s="5" t="s">
        <v>1108</v>
      </c>
      <c r="F984" s="5" t="s">
        <v>1135</v>
      </c>
      <c r="G984" s="5" t="s">
        <v>39</v>
      </c>
      <c r="H984" s="5" t="s">
        <v>40</v>
      </c>
      <c r="I984" s="5" t="s">
        <v>796</v>
      </c>
      <c r="J984" s="5" t="n">
        <v>4</v>
      </c>
      <c r="K984" s="5"/>
      <c r="L984" s="6"/>
      <c r="M984" s="6"/>
      <c r="N984" s="6"/>
      <c r="O984" s="6"/>
      <c r="P984" s="5" t="str">
        <f aca="false">IF(M984="","",ROUND(M984*IFERROR(INDEX(Weights!$B$2:$B$4,MATCH(G984,Weights!$A$2:$A$4,0)),0)*IFERROR(INDEX(Weights!$B$7:$B$11,MATCH(E984,Weights!$A$7:$A$11,0)),0)*IFERROR(INDEX(Weights!$B$14:$B$17,MATCH(TEXT(J984,"0"),Weights!$A$14:$A$17,0)),0)/(1+N(N984)/50),1))</f>
        <v/>
      </c>
      <c r="Q984" s="5" t="s">
        <v>42</v>
      </c>
    </row>
    <row r="985" customFormat="false" ht="15" hidden="false" customHeight="false" outlineLevel="0" collapsed="false">
      <c r="A985" s="5" t="n">
        <v>984</v>
      </c>
      <c r="B985" s="5" t="s">
        <v>1148</v>
      </c>
      <c r="C985" s="5" t="s">
        <v>57</v>
      </c>
      <c r="D985" s="5" t="s">
        <v>36</v>
      </c>
      <c r="E985" s="5" t="s">
        <v>1108</v>
      </c>
      <c r="F985" s="5" t="s">
        <v>1135</v>
      </c>
      <c r="G985" s="5" t="s">
        <v>39</v>
      </c>
      <c r="H985" s="5" t="s">
        <v>40</v>
      </c>
      <c r="I985" s="5" t="s">
        <v>796</v>
      </c>
      <c r="J985" s="5" t="n">
        <v>4</v>
      </c>
      <c r="K985" s="5"/>
      <c r="L985" s="6"/>
      <c r="M985" s="6"/>
      <c r="N985" s="6"/>
      <c r="O985" s="6"/>
      <c r="P985" s="5" t="str">
        <f aca="false">IF(M985="","",ROUND(M985*IFERROR(INDEX(Weights!$B$2:$B$4,MATCH(G985,Weights!$A$2:$A$4,0)),0)*IFERROR(INDEX(Weights!$B$7:$B$11,MATCH(E985,Weights!$A$7:$A$11,0)),0)*IFERROR(INDEX(Weights!$B$14:$B$17,MATCH(TEXT(J985,"0"),Weights!$A$14:$A$17,0)),0)/(1+N(N985)/50),1))</f>
        <v/>
      </c>
      <c r="Q985" s="5" t="s">
        <v>42</v>
      </c>
    </row>
    <row r="986" customFormat="false" ht="15" hidden="false" customHeight="false" outlineLevel="0" collapsed="false">
      <c r="A986" s="5" t="n">
        <v>985</v>
      </c>
      <c r="B986" s="5" t="s">
        <v>1149</v>
      </c>
      <c r="C986" s="5" t="s">
        <v>57</v>
      </c>
      <c r="D986" s="5" t="s">
        <v>36</v>
      </c>
      <c r="E986" s="5" t="s">
        <v>1108</v>
      </c>
      <c r="F986" s="5" t="s">
        <v>1135</v>
      </c>
      <c r="G986" s="5" t="s">
        <v>39</v>
      </c>
      <c r="H986" s="5" t="s">
        <v>40</v>
      </c>
      <c r="I986" s="5" t="s">
        <v>796</v>
      </c>
      <c r="J986" s="5" t="n">
        <v>4</v>
      </c>
      <c r="K986" s="5"/>
      <c r="L986" s="6"/>
      <c r="M986" s="6"/>
      <c r="N986" s="6"/>
      <c r="O986" s="6"/>
      <c r="P986" s="5" t="str">
        <f aca="false">IF(M986="","",ROUND(M986*IFERROR(INDEX(Weights!$B$2:$B$4,MATCH(G986,Weights!$A$2:$A$4,0)),0)*IFERROR(INDEX(Weights!$B$7:$B$11,MATCH(E986,Weights!$A$7:$A$11,0)),0)*IFERROR(INDEX(Weights!$B$14:$B$17,MATCH(TEXT(J986,"0"),Weights!$A$14:$A$17,0)),0)/(1+N(N986)/50),1))</f>
        <v/>
      </c>
      <c r="Q986" s="5" t="s">
        <v>42</v>
      </c>
    </row>
    <row r="987" customFormat="false" ht="15" hidden="false" customHeight="false" outlineLevel="0" collapsed="false">
      <c r="A987" s="5" t="n">
        <v>986</v>
      </c>
      <c r="B987" s="5" t="s">
        <v>1150</v>
      </c>
      <c r="C987" s="5" t="s">
        <v>464</v>
      </c>
      <c r="D987" s="5" t="s">
        <v>36</v>
      </c>
      <c r="E987" s="5" t="s">
        <v>1108</v>
      </c>
      <c r="F987" s="5" t="s">
        <v>1135</v>
      </c>
      <c r="G987" s="5" t="s">
        <v>39</v>
      </c>
      <c r="H987" s="5" t="s">
        <v>40</v>
      </c>
      <c r="I987" s="5" t="s">
        <v>796</v>
      </c>
      <c r="J987" s="5" t="n">
        <v>4</v>
      </c>
      <c r="K987" s="5"/>
      <c r="L987" s="6"/>
      <c r="M987" s="6"/>
      <c r="N987" s="6"/>
      <c r="O987" s="6"/>
      <c r="P987" s="5" t="str">
        <f aca="false">IF(M987="","",ROUND(M987*IFERROR(INDEX(Weights!$B$2:$B$4,MATCH(G987,Weights!$A$2:$A$4,0)),0)*IFERROR(INDEX(Weights!$B$7:$B$11,MATCH(E987,Weights!$A$7:$A$11,0)),0)*IFERROR(INDEX(Weights!$B$14:$B$17,MATCH(TEXT(J987,"0"),Weights!$A$14:$A$17,0)),0)/(1+N(N987)/50),1))</f>
        <v/>
      </c>
      <c r="Q987" s="5" t="s">
        <v>42</v>
      </c>
    </row>
    <row r="988" customFormat="false" ht="15" hidden="false" customHeight="false" outlineLevel="0" collapsed="false">
      <c r="A988" s="5" t="n">
        <v>987</v>
      </c>
      <c r="B988" s="5" t="s">
        <v>1151</v>
      </c>
      <c r="C988" s="5" t="s">
        <v>464</v>
      </c>
      <c r="D988" s="5" t="s">
        <v>36</v>
      </c>
      <c r="E988" s="5" t="s">
        <v>1108</v>
      </c>
      <c r="F988" s="5" t="s">
        <v>1135</v>
      </c>
      <c r="G988" s="5" t="s">
        <v>39</v>
      </c>
      <c r="H988" s="5" t="s">
        <v>40</v>
      </c>
      <c r="I988" s="5" t="s">
        <v>796</v>
      </c>
      <c r="J988" s="5" t="n">
        <v>4</v>
      </c>
      <c r="K988" s="5"/>
      <c r="L988" s="6"/>
      <c r="M988" s="6"/>
      <c r="N988" s="6"/>
      <c r="O988" s="6"/>
      <c r="P988" s="5" t="str">
        <f aca="false">IF(M988="","",ROUND(M988*IFERROR(INDEX(Weights!$B$2:$B$4,MATCH(G988,Weights!$A$2:$A$4,0)),0)*IFERROR(INDEX(Weights!$B$7:$B$11,MATCH(E988,Weights!$A$7:$A$11,0)),0)*IFERROR(INDEX(Weights!$B$14:$B$17,MATCH(TEXT(J988,"0"),Weights!$A$14:$A$17,0)),0)/(1+N(N988)/50),1))</f>
        <v/>
      </c>
      <c r="Q988" s="5" t="s">
        <v>42</v>
      </c>
    </row>
    <row r="989" customFormat="false" ht="15" hidden="false" customHeight="false" outlineLevel="0" collapsed="false">
      <c r="A989" s="5" t="n">
        <v>988</v>
      </c>
      <c r="B989" s="5" t="s">
        <v>1152</v>
      </c>
      <c r="C989" s="5" t="s">
        <v>464</v>
      </c>
      <c r="D989" s="5" t="s">
        <v>36</v>
      </c>
      <c r="E989" s="5" t="s">
        <v>1108</v>
      </c>
      <c r="F989" s="5" t="s">
        <v>1135</v>
      </c>
      <c r="G989" s="5" t="s">
        <v>39</v>
      </c>
      <c r="H989" s="5" t="s">
        <v>40</v>
      </c>
      <c r="I989" s="5" t="s">
        <v>796</v>
      </c>
      <c r="J989" s="5" t="n">
        <v>4</v>
      </c>
      <c r="K989" s="5"/>
      <c r="L989" s="6"/>
      <c r="M989" s="6"/>
      <c r="N989" s="6"/>
      <c r="O989" s="6"/>
      <c r="P989" s="5" t="str">
        <f aca="false">IF(M989="","",ROUND(M989*IFERROR(INDEX(Weights!$B$2:$B$4,MATCH(G989,Weights!$A$2:$A$4,0)),0)*IFERROR(INDEX(Weights!$B$7:$B$11,MATCH(E989,Weights!$A$7:$A$11,0)),0)*IFERROR(INDEX(Weights!$B$14:$B$17,MATCH(TEXT(J989,"0"),Weights!$A$14:$A$17,0)),0)/(1+N(N989)/50),1))</f>
        <v/>
      </c>
      <c r="Q989" s="5" t="s">
        <v>42</v>
      </c>
    </row>
    <row r="990" customFormat="false" ht="15" hidden="false" customHeight="false" outlineLevel="0" collapsed="false">
      <c r="A990" s="5" t="n">
        <v>989</v>
      </c>
      <c r="B990" s="5" t="s">
        <v>1153</v>
      </c>
      <c r="C990" s="5" t="s">
        <v>456</v>
      </c>
      <c r="D990" s="5" t="s">
        <v>36</v>
      </c>
      <c r="E990" s="5" t="s">
        <v>1108</v>
      </c>
      <c r="F990" s="5" t="s">
        <v>1135</v>
      </c>
      <c r="G990" s="5" t="s">
        <v>39</v>
      </c>
      <c r="H990" s="5" t="s">
        <v>40</v>
      </c>
      <c r="I990" s="5" t="s">
        <v>796</v>
      </c>
      <c r="J990" s="5" t="n">
        <v>4</v>
      </c>
      <c r="K990" s="5"/>
      <c r="L990" s="6"/>
      <c r="M990" s="6"/>
      <c r="N990" s="6"/>
      <c r="O990" s="6"/>
      <c r="P990" s="5" t="str">
        <f aca="false">IF(M990="","",ROUND(M990*IFERROR(INDEX(Weights!$B$2:$B$4,MATCH(G990,Weights!$A$2:$A$4,0)),0)*IFERROR(INDEX(Weights!$B$7:$B$11,MATCH(E990,Weights!$A$7:$A$11,0)),0)*IFERROR(INDEX(Weights!$B$14:$B$17,MATCH(TEXT(J990,"0"),Weights!$A$14:$A$17,0)),0)/(1+N(N990)/50),1))</f>
        <v/>
      </c>
      <c r="Q990" s="5" t="s">
        <v>42</v>
      </c>
    </row>
    <row r="991" customFormat="false" ht="15" hidden="false" customHeight="false" outlineLevel="0" collapsed="false">
      <c r="A991" s="5" t="n">
        <v>990</v>
      </c>
      <c r="B991" s="5" t="s">
        <v>1154</v>
      </c>
      <c r="C991" s="5" t="s">
        <v>456</v>
      </c>
      <c r="D991" s="5" t="s">
        <v>36</v>
      </c>
      <c r="E991" s="5" t="s">
        <v>1108</v>
      </c>
      <c r="F991" s="5" t="s">
        <v>1135</v>
      </c>
      <c r="G991" s="5" t="s">
        <v>39</v>
      </c>
      <c r="H991" s="5" t="s">
        <v>40</v>
      </c>
      <c r="I991" s="5" t="s">
        <v>796</v>
      </c>
      <c r="J991" s="5" t="n">
        <v>4</v>
      </c>
      <c r="K991" s="5"/>
      <c r="L991" s="6"/>
      <c r="M991" s="6"/>
      <c r="N991" s="6"/>
      <c r="O991" s="6"/>
      <c r="P991" s="5" t="str">
        <f aca="false">IF(M991="","",ROUND(M991*IFERROR(INDEX(Weights!$B$2:$B$4,MATCH(G991,Weights!$A$2:$A$4,0)),0)*IFERROR(INDEX(Weights!$B$7:$B$11,MATCH(E991,Weights!$A$7:$A$11,0)),0)*IFERROR(INDEX(Weights!$B$14:$B$17,MATCH(TEXT(J991,"0"),Weights!$A$14:$A$17,0)),0)/(1+N(N991)/50),1))</f>
        <v/>
      </c>
      <c r="Q991" s="5" t="s">
        <v>42</v>
      </c>
    </row>
    <row r="992" customFormat="false" ht="15" hidden="false" customHeight="false" outlineLevel="0" collapsed="false">
      <c r="A992" s="5" t="n">
        <v>991</v>
      </c>
      <c r="B992" s="5" t="s">
        <v>1155</v>
      </c>
      <c r="C992" s="5" t="s">
        <v>64</v>
      </c>
      <c r="D992" s="5" t="s">
        <v>36</v>
      </c>
      <c r="E992" s="5" t="s">
        <v>1108</v>
      </c>
      <c r="F992" s="5" t="s">
        <v>1135</v>
      </c>
      <c r="G992" s="5" t="s">
        <v>39</v>
      </c>
      <c r="H992" s="5" t="s">
        <v>40</v>
      </c>
      <c r="I992" s="5" t="s">
        <v>796</v>
      </c>
      <c r="J992" s="5" t="n">
        <v>4</v>
      </c>
      <c r="K992" s="5"/>
      <c r="L992" s="6"/>
      <c r="M992" s="6"/>
      <c r="N992" s="6"/>
      <c r="O992" s="6"/>
      <c r="P992" s="5" t="str">
        <f aca="false">IF(M992="","",ROUND(M992*IFERROR(INDEX(Weights!$B$2:$B$4,MATCH(G992,Weights!$A$2:$A$4,0)),0)*IFERROR(INDEX(Weights!$B$7:$B$11,MATCH(E992,Weights!$A$7:$A$11,0)),0)*IFERROR(INDEX(Weights!$B$14:$B$17,MATCH(TEXT(J992,"0"),Weights!$A$14:$A$17,0)),0)/(1+N(N992)/50),1))</f>
        <v/>
      </c>
      <c r="Q992" s="5" t="s">
        <v>42</v>
      </c>
    </row>
    <row r="993" customFormat="false" ht="15" hidden="false" customHeight="false" outlineLevel="0" collapsed="false">
      <c r="A993" s="5" t="n">
        <v>992</v>
      </c>
      <c r="B993" s="5" t="s">
        <v>1156</v>
      </c>
      <c r="C993" s="5" t="s">
        <v>64</v>
      </c>
      <c r="D993" s="5" t="s">
        <v>36</v>
      </c>
      <c r="E993" s="5" t="s">
        <v>1108</v>
      </c>
      <c r="F993" s="5" t="s">
        <v>1135</v>
      </c>
      <c r="G993" s="5" t="s">
        <v>39</v>
      </c>
      <c r="H993" s="5" t="s">
        <v>40</v>
      </c>
      <c r="I993" s="5" t="s">
        <v>796</v>
      </c>
      <c r="J993" s="5" t="n">
        <v>4</v>
      </c>
      <c r="K993" s="5"/>
      <c r="L993" s="6"/>
      <c r="M993" s="6"/>
      <c r="N993" s="6"/>
      <c r="O993" s="6"/>
      <c r="P993" s="5" t="str">
        <f aca="false">IF(M993="","",ROUND(M993*IFERROR(INDEX(Weights!$B$2:$B$4,MATCH(G993,Weights!$A$2:$A$4,0)),0)*IFERROR(INDEX(Weights!$B$7:$B$11,MATCH(E993,Weights!$A$7:$A$11,0)),0)*IFERROR(INDEX(Weights!$B$14:$B$17,MATCH(TEXT(J993,"0"),Weights!$A$14:$A$17,0)),0)/(1+N(N993)/50),1))</f>
        <v/>
      </c>
      <c r="Q993" s="5" t="s">
        <v>42</v>
      </c>
    </row>
    <row r="994" customFormat="false" ht="15" hidden="false" customHeight="false" outlineLevel="0" collapsed="false">
      <c r="A994" s="5" t="n">
        <v>993</v>
      </c>
      <c r="B994" s="5" t="s">
        <v>1157</v>
      </c>
      <c r="C994" s="5" t="s">
        <v>61</v>
      </c>
      <c r="D994" s="5" t="s">
        <v>36</v>
      </c>
      <c r="E994" s="5" t="s">
        <v>1108</v>
      </c>
      <c r="F994" s="5" t="s">
        <v>1135</v>
      </c>
      <c r="G994" s="5" t="s">
        <v>39</v>
      </c>
      <c r="H994" s="5" t="s">
        <v>40</v>
      </c>
      <c r="I994" s="5" t="s">
        <v>796</v>
      </c>
      <c r="J994" s="5" t="n">
        <v>4</v>
      </c>
      <c r="K994" s="5"/>
      <c r="L994" s="6"/>
      <c r="M994" s="6"/>
      <c r="N994" s="6"/>
      <c r="O994" s="6"/>
      <c r="P994" s="5" t="str">
        <f aca="false">IF(M994="","",ROUND(M994*IFERROR(INDEX(Weights!$B$2:$B$4,MATCH(G994,Weights!$A$2:$A$4,0)),0)*IFERROR(INDEX(Weights!$B$7:$B$11,MATCH(E994,Weights!$A$7:$A$11,0)),0)*IFERROR(INDEX(Weights!$B$14:$B$17,MATCH(TEXT(J994,"0"),Weights!$A$14:$A$17,0)),0)/(1+N(N994)/50),1))</f>
        <v/>
      </c>
      <c r="Q994" s="5" t="s">
        <v>42</v>
      </c>
    </row>
    <row r="995" customFormat="false" ht="15" hidden="false" customHeight="false" outlineLevel="0" collapsed="false">
      <c r="A995" s="5" t="n">
        <v>994</v>
      </c>
      <c r="B995" s="5" t="s">
        <v>1158</v>
      </c>
      <c r="C995" s="5" t="s">
        <v>66</v>
      </c>
      <c r="D995" s="5" t="s">
        <v>36</v>
      </c>
      <c r="E995" s="5" t="s">
        <v>1108</v>
      </c>
      <c r="F995" s="5" t="s">
        <v>1135</v>
      </c>
      <c r="G995" s="5" t="s">
        <v>39</v>
      </c>
      <c r="H995" s="5" t="s">
        <v>40</v>
      </c>
      <c r="I995" s="5" t="s">
        <v>796</v>
      </c>
      <c r="J995" s="5" t="n">
        <v>4</v>
      </c>
      <c r="K995" s="5"/>
      <c r="L995" s="6"/>
      <c r="M995" s="6"/>
      <c r="N995" s="6"/>
      <c r="O995" s="6"/>
      <c r="P995" s="5" t="str">
        <f aca="false">IF(M995="","",ROUND(M995*IFERROR(INDEX(Weights!$B$2:$B$4,MATCH(G995,Weights!$A$2:$A$4,0)),0)*IFERROR(INDEX(Weights!$B$7:$B$11,MATCH(E995,Weights!$A$7:$A$11,0)),0)*IFERROR(INDEX(Weights!$B$14:$B$17,MATCH(TEXT(J995,"0"),Weights!$A$14:$A$17,0)),0)/(1+N(N995)/50),1))</f>
        <v/>
      </c>
      <c r="Q995" s="5" t="s">
        <v>42</v>
      </c>
    </row>
    <row r="996" customFormat="false" ht="15" hidden="false" customHeight="false" outlineLevel="0" collapsed="false">
      <c r="A996" s="5" t="n">
        <v>995</v>
      </c>
      <c r="B996" s="5" t="s">
        <v>1159</v>
      </c>
      <c r="C996" s="5" t="s">
        <v>69</v>
      </c>
      <c r="D996" s="5" t="s">
        <v>36</v>
      </c>
      <c r="E996" s="5" t="s">
        <v>1108</v>
      </c>
      <c r="F996" s="5" t="s">
        <v>1135</v>
      </c>
      <c r="G996" s="5" t="s">
        <v>39</v>
      </c>
      <c r="H996" s="5" t="s">
        <v>40</v>
      </c>
      <c r="I996" s="5" t="s">
        <v>796</v>
      </c>
      <c r="J996" s="5" t="n">
        <v>4</v>
      </c>
      <c r="K996" s="5"/>
      <c r="L996" s="6"/>
      <c r="M996" s="6"/>
      <c r="N996" s="6"/>
      <c r="O996" s="6"/>
      <c r="P996" s="5" t="str">
        <f aca="false">IF(M996="","",ROUND(M996*IFERROR(INDEX(Weights!$B$2:$B$4,MATCH(G996,Weights!$A$2:$A$4,0)),0)*IFERROR(INDEX(Weights!$B$7:$B$11,MATCH(E996,Weights!$A$7:$A$11,0)),0)*IFERROR(INDEX(Weights!$B$14:$B$17,MATCH(TEXT(J996,"0"),Weights!$A$14:$A$17,0)),0)/(1+N(N996)/50),1))</f>
        <v/>
      </c>
      <c r="Q996" s="5" t="s">
        <v>42</v>
      </c>
    </row>
    <row r="997" customFormat="false" ht="15" hidden="false" customHeight="false" outlineLevel="0" collapsed="false">
      <c r="A997" s="5" t="n">
        <v>996</v>
      </c>
      <c r="B997" s="5" t="s">
        <v>1160</v>
      </c>
      <c r="C997" s="5" t="s">
        <v>35</v>
      </c>
      <c r="D997" s="5" t="s">
        <v>36</v>
      </c>
      <c r="E997" s="5" t="s">
        <v>1108</v>
      </c>
      <c r="F997" s="5" t="s">
        <v>1161</v>
      </c>
      <c r="G997" s="5" t="s">
        <v>39</v>
      </c>
      <c r="H997" s="5" t="s">
        <v>40</v>
      </c>
      <c r="I997" s="5" t="s">
        <v>796</v>
      </c>
      <c r="J997" s="5" t="n">
        <v>4</v>
      </c>
      <c r="K997" s="5"/>
      <c r="L997" s="6"/>
      <c r="M997" s="6"/>
      <c r="N997" s="6"/>
      <c r="O997" s="6"/>
      <c r="P997" s="5" t="str">
        <f aca="false">IF(M997="","",ROUND(M997*IFERROR(INDEX(Weights!$B$2:$B$4,MATCH(G997,Weights!$A$2:$A$4,0)),0)*IFERROR(INDEX(Weights!$B$7:$B$11,MATCH(E997,Weights!$A$7:$A$11,0)),0)*IFERROR(INDEX(Weights!$B$14:$B$17,MATCH(TEXT(J997,"0"),Weights!$A$14:$A$17,0)),0)/(1+N(N997)/50),1))</f>
        <v/>
      </c>
      <c r="Q997" s="5" t="s">
        <v>42</v>
      </c>
    </row>
    <row r="998" customFormat="false" ht="15" hidden="false" customHeight="false" outlineLevel="0" collapsed="false">
      <c r="A998" s="5" t="n">
        <v>997</v>
      </c>
      <c r="B998" s="5" t="s">
        <v>1162</v>
      </c>
      <c r="C998" s="5" t="s">
        <v>35</v>
      </c>
      <c r="D998" s="5" t="s">
        <v>36</v>
      </c>
      <c r="E998" s="5" t="s">
        <v>1108</v>
      </c>
      <c r="F998" s="5" t="s">
        <v>1161</v>
      </c>
      <c r="G998" s="5" t="s">
        <v>39</v>
      </c>
      <c r="H998" s="5" t="s">
        <v>40</v>
      </c>
      <c r="I998" s="5" t="s">
        <v>796</v>
      </c>
      <c r="J998" s="5" t="n">
        <v>4</v>
      </c>
      <c r="K998" s="5"/>
      <c r="L998" s="6"/>
      <c r="M998" s="6"/>
      <c r="N998" s="6"/>
      <c r="O998" s="6"/>
      <c r="P998" s="5" t="str">
        <f aca="false">IF(M998="","",ROUND(M998*IFERROR(INDEX(Weights!$B$2:$B$4,MATCH(G998,Weights!$A$2:$A$4,0)),0)*IFERROR(INDEX(Weights!$B$7:$B$11,MATCH(E998,Weights!$A$7:$A$11,0)),0)*IFERROR(INDEX(Weights!$B$14:$B$17,MATCH(TEXT(J998,"0"),Weights!$A$14:$A$17,0)),0)/(1+N(N998)/50),1))</f>
        <v/>
      </c>
      <c r="Q998" s="5" t="s">
        <v>42</v>
      </c>
    </row>
    <row r="999" customFormat="false" ht="15" hidden="false" customHeight="false" outlineLevel="0" collapsed="false">
      <c r="A999" s="5" t="n">
        <v>998</v>
      </c>
      <c r="B999" s="5" t="s">
        <v>1163</v>
      </c>
      <c r="C999" s="5" t="s">
        <v>35</v>
      </c>
      <c r="D999" s="5" t="s">
        <v>36</v>
      </c>
      <c r="E999" s="5" t="s">
        <v>1108</v>
      </c>
      <c r="F999" s="5" t="s">
        <v>1161</v>
      </c>
      <c r="G999" s="5" t="s">
        <v>39</v>
      </c>
      <c r="H999" s="5" t="s">
        <v>40</v>
      </c>
      <c r="I999" s="5" t="s">
        <v>796</v>
      </c>
      <c r="J999" s="5" t="n">
        <v>4</v>
      </c>
      <c r="K999" s="5"/>
      <c r="L999" s="6"/>
      <c r="M999" s="6"/>
      <c r="N999" s="6"/>
      <c r="O999" s="6"/>
      <c r="P999" s="5" t="str">
        <f aca="false">IF(M999="","",ROUND(M999*IFERROR(INDEX(Weights!$B$2:$B$4,MATCH(G999,Weights!$A$2:$A$4,0)),0)*IFERROR(INDEX(Weights!$B$7:$B$11,MATCH(E999,Weights!$A$7:$A$11,0)),0)*IFERROR(INDEX(Weights!$B$14:$B$17,MATCH(TEXT(J999,"0"),Weights!$A$14:$A$17,0)),0)/(1+N(N999)/50),1))</f>
        <v/>
      </c>
      <c r="Q999" s="5" t="s">
        <v>42</v>
      </c>
    </row>
    <row r="1000" customFormat="false" ht="15" hidden="false" customHeight="false" outlineLevel="0" collapsed="false">
      <c r="A1000" s="5" t="n">
        <v>999</v>
      </c>
      <c r="B1000" s="5" t="s">
        <v>1164</v>
      </c>
      <c r="C1000" s="5" t="s">
        <v>47</v>
      </c>
      <c r="D1000" s="5" t="s">
        <v>36</v>
      </c>
      <c r="E1000" s="5" t="s">
        <v>1108</v>
      </c>
      <c r="F1000" s="5" t="s">
        <v>1161</v>
      </c>
      <c r="G1000" s="5" t="s">
        <v>39</v>
      </c>
      <c r="H1000" s="5" t="s">
        <v>40</v>
      </c>
      <c r="I1000" s="5" t="s">
        <v>796</v>
      </c>
      <c r="J1000" s="5" t="n">
        <v>4</v>
      </c>
      <c r="K1000" s="5"/>
      <c r="L1000" s="6"/>
      <c r="M1000" s="6"/>
      <c r="N1000" s="6"/>
      <c r="O1000" s="6"/>
      <c r="P1000" s="5" t="str">
        <f aca="false">IF(M1000="","",ROUND(M1000*IFERROR(INDEX(Weights!$B$2:$B$4,MATCH(G1000,Weights!$A$2:$A$4,0)),0)*IFERROR(INDEX(Weights!$B$7:$B$11,MATCH(E1000,Weights!$A$7:$A$11,0)),0)*IFERROR(INDEX(Weights!$B$14:$B$17,MATCH(TEXT(J1000,"0"),Weights!$A$14:$A$17,0)),0)/(1+N(N1000)/50),1))</f>
        <v/>
      </c>
      <c r="Q1000" s="5" t="s">
        <v>42</v>
      </c>
    </row>
    <row r="1001" customFormat="false" ht="15" hidden="false" customHeight="false" outlineLevel="0" collapsed="false">
      <c r="A1001" s="5" t="n">
        <v>1000</v>
      </c>
      <c r="B1001" s="5" t="s">
        <v>1165</v>
      </c>
      <c r="C1001" s="5" t="s">
        <v>47</v>
      </c>
      <c r="D1001" s="5" t="s">
        <v>36</v>
      </c>
      <c r="E1001" s="5" t="s">
        <v>1108</v>
      </c>
      <c r="F1001" s="5" t="s">
        <v>1161</v>
      </c>
      <c r="G1001" s="5" t="s">
        <v>39</v>
      </c>
      <c r="H1001" s="5" t="s">
        <v>40</v>
      </c>
      <c r="I1001" s="5" t="s">
        <v>796</v>
      </c>
      <c r="J1001" s="5" t="n">
        <v>4</v>
      </c>
      <c r="K1001" s="5"/>
      <c r="L1001" s="6"/>
      <c r="M1001" s="6"/>
      <c r="N1001" s="6"/>
      <c r="O1001" s="6"/>
      <c r="P1001" s="5" t="str">
        <f aca="false">IF(M1001="","",ROUND(M1001*IFERROR(INDEX(Weights!$B$2:$B$4,MATCH(G1001,Weights!$A$2:$A$4,0)),0)*IFERROR(INDEX(Weights!$B$7:$B$11,MATCH(E1001,Weights!$A$7:$A$11,0)),0)*IFERROR(INDEX(Weights!$B$14:$B$17,MATCH(TEXT(J1001,"0"),Weights!$A$14:$A$17,0)),0)/(1+N(N1001)/50),1))</f>
        <v/>
      </c>
      <c r="Q1001" s="5" t="s">
        <v>42</v>
      </c>
    </row>
    <row r="1002" customFormat="false" ht="15" hidden="false" customHeight="false" outlineLevel="0" collapsed="false">
      <c r="A1002" s="5" t="n">
        <v>1001</v>
      </c>
      <c r="B1002" s="5" t="s">
        <v>1166</v>
      </c>
      <c r="C1002" s="5" t="s">
        <v>47</v>
      </c>
      <c r="D1002" s="5" t="s">
        <v>36</v>
      </c>
      <c r="E1002" s="5" t="s">
        <v>1108</v>
      </c>
      <c r="F1002" s="5" t="s">
        <v>1161</v>
      </c>
      <c r="G1002" s="5" t="s">
        <v>39</v>
      </c>
      <c r="H1002" s="5" t="s">
        <v>40</v>
      </c>
      <c r="I1002" s="5" t="s">
        <v>796</v>
      </c>
      <c r="J1002" s="5" t="n">
        <v>4</v>
      </c>
      <c r="K1002" s="5"/>
      <c r="L1002" s="6"/>
      <c r="M1002" s="6"/>
      <c r="N1002" s="6"/>
      <c r="O1002" s="6"/>
      <c r="P1002" s="5" t="str">
        <f aca="false">IF(M1002="","",ROUND(M1002*IFERROR(INDEX(Weights!$B$2:$B$4,MATCH(G1002,Weights!$A$2:$A$4,0)),0)*IFERROR(INDEX(Weights!$B$7:$B$11,MATCH(E1002,Weights!$A$7:$A$11,0)),0)*IFERROR(INDEX(Weights!$B$14:$B$17,MATCH(TEXT(J1002,"0"),Weights!$A$14:$A$17,0)),0)/(1+N(N1002)/50),1))</f>
        <v/>
      </c>
      <c r="Q1002" s="5" t="s">
        <v>42</v>
      </c>
    </row>
    <row r="1003" customFormat="false" ht="15" hidden="false" customHeight="false" outlineLevel="0" collapsed="false">
      <c r="A1003" s="5" t="n">
        <v>1002</v>
      </c>
      <c r="B1003" s="5" t="s">
        <v>1167</v>
      </c>
      <c r="C1003" s="5" t="s">
        <v>47</v>
      </c>
      <c r="D1003" s="5" t="s">
        <v>36</v>
      </c>
      <c r="E1003" s="5" t="s">
        <v>1108</v>
      </c>
      <c r="F1003" s="5" t="s">
        <v>1161</v>
      </c>
      <c r="G1003" s="5" t="s">
        <v>39</v>
      </c>
      <c r="H1003" s="5" t="s">
        <v>40</v>
      </c>
      <c r="I1003" s="5" t="s">
        <v>796</v>
      </c>
      <c r="J1003" s="5" t="n">
        <v>4</v>
      </c>
      <c r="K1003" s="5"/>
      <c r="L1003" s="6"/>
      <c r="M1003" s="6"/>
      <c r="N1003" s="6"/>
      <c r="O1003" s="6"/>
      <c r="P1003" s="5" t="str">
        <f aca="false">IF(M1003="","",ROUND(M1003*IFERROR(INDEX(Weights!$B$2:$B$4,MATCH(G1003,Weights!$A$2:$A$4,0)),0)*IFERROR(INDEX(Weights!$B$7:$B$11,MATCH(E1003,Weights!$A$7:$A$11,0)),0)*IFERROR(INDEX(Weights!$B$14:$B$17,MATCH(TEXT(J1003,"0"),Weights!$A$14:$A$17,0)),0)/(1+N(N1003)/50),1))</f>
        <v/>
      </c>
      <c r="Q1003" s="5" t="s">
        <v>42</v>
      </c>
    </row>
    <row r="1004" customFormat="false" ht="15" hidden="false" customHeight="false" outlineLevel="0" collapsed="false">
      <c r="A1004" s="5" t="n">
        <v>1003</v>
      </c>
      <c r="B1004" s="5" t="s">
        <v>1168</v>
      </c>
      <c r="C1004" s="5" t="s">
        <v>51</v>
      </c>
      <c r="D1004" s="5" t="s">
        <v>36</v>
      </c>
      <c r="E1004" s="5" t="s">
        <v>1108</v>
      </c>
      <c r="F1004" s="5" t="s">
        <v>1161</v>
      </c>
      <c r="G1004" s="5" t="s">
        <v>39</v>
      </c>
      <c r="H1004" s="5" t="s">
        <v>40</v>
      </c>
      <c r="I1004" s="5" t="s">
        <v>796</v>
      </c>
      <c r="J1004" s="5" t="n">
        <v>4</v>
      </c>
      <c r="K1004" s="5"/>
      <c r="L1004" s="6"/>
      <c r="M1004" s="6"/>
      <c r="N1004" s="6"/>
      <c r="O1004" s="6"/>
      <c r="P1004" s="5" t="str">
        <f aca="false">IF(M1004="","",ROUND(M1004*IFERROR(INDEX(Weights!$B$2:$B$4,MATCH(G1004,Weights!$A$2:$A$4,0)),0)*IFERROR(INDEX(Weights!$B$7:$B$11,MATCH(E1004,Weights!$A$7:$A$11,0)),0)*IFERROR(INDEX(Weights!$B$14:$B$17,MATCH(TEXT(J1004,"0"),Weights!$A$14:$A$17,0)),0)/(1+N(N1004)/50),1))</f>
        <v/>
      </c>
      <c r="Q1004" s="5" t="s">
        <v>42</v>
      </c>
    </row>
    <row r="1005" customFormat="false" ht="15" hidden="false" customHeight="false" outlineLevel="0" collapsed="false">
      <c r="A1005" s="5" t="n">
        <v>1004</v>
      </c>
      <c r="B1005" s="5" t="s">
        <v>1169</v>
      </c>
      <c r="C1005" s="5" t="s">
        <v>51</v>
      </c>
      <c r="D1005" s="5" t="s">
        <v>36</v>
      </c>
      <c r="E1005" s="5" t="s">
        <v>1108</v>
      </c>
      <c r="F1005" s="5" t="s">
        <v>1161</v>
      </c>
      <c r="G1005" s="5" t="s">
        <v>39</v>
      </c>
      <c r="H1005" s="5" t="s">
        <v>40</v>
      </c>
      <c r="I1005" s="5" t="s">
        <v>796</v>
      </c>
      <c r="J1005" s="5" t="n">
        <v>4</v>
      </c>
      <c r="K1005" s="5"/>
      <c r="L1005" s="6"/>
      <c r="M1005" s="6"/>
      <c r="N1005" s="6"/>
      <c r="O1005" s="6"/>
      <c r="P1005" s="5" t="str">
        <f aca="false">IF(M1005="","",ROUND(M1005*IFERROR(INDEX(Weights!$B$2:$B$4,MATCH(G1005,Weights!$A$2:$A$4,0)),0)*IFERROR(INDEX(Weights!$B$7:$B$11,MATCH(E1005,Weights!$A$7:$A$11,0)),0)*IFERROR(INDEX(Weights!$B$14:$B$17,MATCH(TEXT(J1005,"0"),Weights!$A$14:$A$17,0)),0)/(1+N(N1005)/50),1))</f>
        <v/>
      </c>
      <c r="Q1005" s="5" t="s">
        <v>42</v>
      </c>
    </row>
    <row r="1006" customFormat="false" ht="15" hidden="false" customHeight="false" outlineLevel="0" collapsed="false">
      <c r="A1006" s="5" t="n">
        <v>1005</v>
      </c>
      <c r="B1006" s="5" t="s">
        <v>1170</v>
      </c>
      <c r="C1006" s="5" t="s">
        <v>51</v>
      </c>
      <c r="D1006" s="5" t="s">
        <v>36</v>
      </c>
      <c r="E1006" s="5" t="s">
        <v>1108</v>
      </c>
      <c r="F1006" s="5" t="s">
        <v>1161</v>
      </c>
      <c r="G1006" s="5" t="s">
        <v>39</v>
      </c>
      <c r="H1006" s="5" t="s">
        <v>40</v>
      </c>
      <c r="I1006" s="5" t="s">
        <v>796</v>
      </c>
      <c r="J1006" s="5" t="n">
        <v>4</v>
      </c>
      <c r="K1006" s="5"/>
      <c r="L1006" s="6"/>
      <c r="M1006" s="6"/>
      <c r="N1006" s="6"/>
      <c r="O1006" s="6"/>
      <c r="P1006" s="5" t="str">
        <f aca="false">IF(M1006="","",ROUND(M1006*IFERROR(INDEX(Weights!$B$2:$B$4,MATCH(G1006,Weights!$A$2:$A$4,0)),0)*IFERROR(INDEX(Weights!$B$7:$B$11,MATCH(E1006,Weights!$A$7:$A$11,0)),0)*IFERROR(INDEX(Weights!$B$14:$B$17,MATCH(TEXT(J1006,"0"),Weights!$A$14:$A$17,0)),0)/(1+N(N1006)/50),1))</f>
        <v/>
      </c>
      <c r="Q1006" s="5" t="s">
        <v>42</v>
      </c>
    </row>
    <row r="1007" customFormat="false" ht="15" hidden="false" customHeight="false" outlineLevel="0" collapsed="false">
      <c r="A1007" s="5" t="n">
        <v>1006</v>
      </c>
      <c r="B1007" s="5" t="s">
        <v>1171</v>
      </c>
      <c r="C1007" s="5" t="s">
        <v>54</v>
      </c>
      <c r="D1007" s="5" t="s">
        <v>36</v>
      </c>
      <c r="E1007" s="5" t="s">
        <v>1108</v>
      </c>
      <c r="F1007" s="5" t="s">
        <v>1161</v>
      </c>
      <c r="G1007" s="5" t="s">
        <v>39</v>
      </c>
      <c r="H1007" s="5" t="s">
        <v>40</v>
      </c>
      <c r="I1007" s="5" t="s">
        <v>796</v>
      </c>
      <c r="J1007" s="5" t="n">
        <v>4</v>
      </c>
      <c r="K1007" s="5"/>
      <c r="L1007" s="6"/>
      <c r="M1007" s="6"/>
      <c r="N1007" s="6"/>
      <c r="O1007" s="6"/>
      <c r="P1007" s="5" t="str">
        <f aca="false">IF(M1007="","",ROUND(M1007*IFERROR(INDEX(Weights!$B$2:$B$4,MATCH(G1007,Weights!$A$2:$A$4,0)),0)*IFERROR(INDEX(Weights!$B$7:$B$11,MATCH(E1007,Weights!$A$7:$A$11,0)),0)*IFERROR(INDEX(Weights!$B$14:$B$17,MATCH(TEXT(J1007,"0"),Weights!$A$14:$A$17,0)),0)/(1+N(N1007)/50),1))</f>
        <v/>
      </c>
      <c r="Q1007" s="5" t="s">
        <v>42</v>
      </c>
    </row>
    <row r="1008" customFormat="false" ht="15" hidden="false" customHeight="false" outlineLevel="0" collapsed="false">
      <c r="A1008" s="5" t="n">
        <v>1007</v>
      </c>
      <c r="B1008" s="5" t="s">
        <v>1172</v>
      </c>
      <c r="C1008" s="5" t="s">
        <v>54</v>
      </c>
      <c r="D1008" s="5" t="s">
        <v>36</v>
      </c>
      <c r="E1008" s="5" t="s">
        <v>1108</v>
      </c>
      <c r="F1008" s="5" t="s">
        <v>1161</v>
      </c>
      <c r="G1008" s="5" t="s">
        <v>39</v>
      </c>
      <c r="H1008" s="5" t="s">
        <v>40</v>
      </c>
      <c r="I1008" s="5" t="s">
        <v>796</v>
      </c>
      <c r="J1008" s="5" t="n">
        <v>4</v>
      </c>
      <c r="K1008" s="5"/>
      <c r="L1008" s="6"/>
      <c r="M1008" s="6"/>
      <c r="N1008" s="6"/>
      <c r="O1008" s="6"/>
      <c r="P1008" s="5" t="str">
        <f aca="false">IF(M1008="","",ROUND(M1008*IFERROR(INDEX(Weights!$B$2:$B$4,MATCH(G1008,Weights!$A$2:$A$4,0)),0)*IFERROR(INDEX(Weights!$B$7:$B$11,MATCH(E1008,Weights!$A$7:$A$11,0)),0)*IFERROR(INDEX(Weights!$B$14:$B$17,MATCH(TEXT(J1008,"0"),Weights!$A$14:$A$17,0)),0)/(1+N(N1008)/50),1))</f>
        <v/>
      </c>
      <c r="Q1008" s="5" t="s">
        <v>42</v>
      </c>
    </row>
    <row r="1009" customFormat="false" ht="15" hidden="false" customHeight="false" outlineLevel="0" collapsed="false">
      <c r="A1009" s="5" t="n">
        <v>1008</v>
      </c>
      <c r="B1009" s="5" t="s">
        <v>1173</v>
      </c>
      <c r="C1009" s="5" t="s">
        <v>57</v>
      </c>
      <c r="D1009" s="5" t="s">
        <v>36</v>
      </c>
      <c r="E1009" s="5" t="s">
        <v>1108</v>
      </c>
      <c r="F1009" s="5" t="s">
        <v>1161</v>
      </c>
      <c r="G1009" s="5" t="s">
        <v>39</v>
      </c>
      <c r="H1009" s="5" t="s">
        <v>40</v>
      </c>
      <c r="I1009" s="5" t="s">
        <v>796</v>
      </c>
      <c r="J1009" s="5" t="n">
        <v>4</v>
      </c>
      <c r="K1009" s="5"/>
      <c r="L1009" s="6"/>
      <c r="M1009" s="6"/>
      <c r="N1009" s="6"/>
      <c r="O1009" s="6"/>
      <c r="P1009" s="5" t="str">
        <f aca="false">IF(M1009="","",ROUND(M1009*IFERROR(INDEX(Weights!$B$2:$B$4,MATCH(G1009,Weights!$A$2:$A$4,0)),0)*IFERROR(INDEX(Weights!$B$7:$B$11,MATCH(E1009,Weights!$A$7:$A$11,0)),0)*IFERROR(INDEX(Weights!$B$14:$B$17,MATCH(TEXT(J1009,"0"),Weights!$A$14:$A$17,0)),0)/(1+N(N1009)/50),1))</f>
        <v/>
      </c>
      <c r="Q1009" s="5" t="s">
        <v>42</v>
      </c>
    </row>
    <row r="1010" customFormat="false" ht="15" hidden="false" customHeight="false" outlineLevel="0" collapsed="false">
      <c r="A1010" s="5" t="n">
        <v>1009</v>
      </c>
      <c r="B1010" s="5" t="s">
        <v>1174</v>
      </c>
      <c r="C1010" s="5" t="s">
        <v>57</v>
      </c>
      <c r="D1010" s="5" t="s">
        <v>36</v>
      </c>
      <c r="E1010" s="5" t="s">
        <v>1108</v>
      </c>
      <c r="F1010" s="5" t="s">
        <v>1161</v>
      </c>
      <c r="G1010" s="5" t="s">
        <v>39</v>
      </c>
      <c r="H1010" s="5" t="s">
        <v>40</v>
      </c>
      <c r="I1010" s="5" t="s">
        <v>796</v>
      </c>
      <c r="J1010" s="5" t="n">
        <v>4</v>
      </c>
      <c r="K1010" s="5"/>
      <c r="L1010" s="6"/>
      <c r="M1010" s="6"/>
      <c r="N1010" s="6"/>
      <c r="O1010" s="6"/>
      <c r="P1010" s="5" t="str">
        <f aca="false">IF(M1010="","",ROUND(M1010*IFERROR(INDEX(Weights!$B$2:$B$4,MATCH(G1010,Weights!$A$2:$A$4,0)),0)*IFERROR(INDEX(Weights!$B$7:$B$11,MATCH(E1010,Weights!$A$7:$A$11,0)),0)*IFERROR(INDEX(Weights!$B$14:$B$17,MATCH(TEXT(J1010,"0"),Weights!$A$14:$A$17,0)),0)/(1+N(N1010)/50),1))</f>
        <v/>
      </c>
      <c r="Q1010" s="5" t="s">
        <v>42</v>
      </c>
    </row>
    <row r="1011" customFormat="false" ht="15" hidden="false" customHeight="false" outlineLevel="0" collapsed="false">
      <c r="A1011" s="5" t="n">
        <v>1010</v>
      </c>
      <c r="B1011" s="5" t="s">
        <v>1175</v>
      </c>
      <c r="C1011" s="5" t="s">
        <v>57</v>
      </c>
      <c r="D1011" s="5" t="s">
        <v>36</v>
      </c>
      <c r="E1011" s="5" t="s">
        <v>1108</v>
      </c>
      <c r="F1011" s="5" t="s">
        <v>1161</v>
      </c>
      <c r="G1011" s="5" t="s">
        <v>39</v>
      </c>
      <c r="H1011" s="5" t="s">
        <v>40</v>
      </c>
      <c r="I1011" s="5" t="s">
        <v>796</v>
      </c>
      <c r="J1011" s="5" t="n">
        <v>4</v>
      </c>
      <c r="K1011" s="5"/>
      <c r="L1011" s="6"/>
      <c r="M1011" s="6"/>
      <c r="N1011" s="6"/>
      <c r="O1011" s="6"/>
      <c r="P1011" s="5" t="str">
        <f aca="false">IF(M1011="","",ROUND(M1011*IFERROR(INDEX(Weights!$B$2:$B$4,MATCH(G1011,Weights!$A$2:$A$4,0)),0)*IFERROR(INDEX(Weights!$B$7:$B$11,MATCH(E1011,Weights!$A$7:$A$11,0)),0)*IFERROR(INDEX(Weights!$B$14:$B$17,MATCH(TEXT(J1011,"0"),Weights!$A$14:$A$17,0)),0)/(1+N(N1011)/50),1))</f>
        <v/>
      </c>
      <c r="Q1011" s="5" t="s">
        <v>42</v>
      </c>
    </row>
    <row r="1012" customFormat="false" ht="15" hidden="false" customHeight="false" outlineLevel="0" collapsed="false">
      <c r="A1012" s="5" t="n">
        <v>1011</v>
      </c>
      <c r="B1012" s="5" t="s">
        <v>1176</v>
      </c>
      <c r="C1012" s="5" t="s">
        <v>464</v>
      </c>
      <c r="D1012" s="5" t="s">
        <v>36</v>
      </c>
      <c r="E1012" s="5" t="s">
        <v>1108</v>
      </c>
      <c r="F1012" s="5" t="s">
        <v>1161</v>
      </c>
      <c r="G1012" s="5" t="s">
        <v>39</v>
      </c>
      <c r="H1012" s="5" t="s">
        <v>40</v>
      </c>
      <c r="I1012" s="5" t="s">
        <v>796</v>
      </c>
      <c r="J1012" s="5" t="n">
        <v>4</v>
      </c>
      <c r="K1012" s="5"/>
      <c r="L1012" s="6"/>
      <c r="M1012" s="6"/>
      <c r="N1012" s="6"/>
      <c r="O1012" s="6"/>
      <c r="P1012" s="5" t="str">
        <f aca="false">IF(M1012="","",ROUND(M1012*IFERROR(INDEX(Weights!$B$2:$B$4,MATCH(G1012,Weights!$A$2:$A$4,0)),0)*IFERROR(INDEX(Weights!$B$7:$B$11,MATCH(E1012,Weights!$A$7:$A$11,0)),0)*IFERROR(INDEX(Weights!$B$14:$B$17,MATCH(TEXT(J1012,"0"),Weights!$A$14:$A$17,0)),0)/(1+N(N1012)/50),1))</f>
        <v/>
      </c>
      <c r="Q1012" s="5" t="s">
        <v>42</v>
      </c>
    </row>
    <row r="1013" customFormat="false" ht="15" hidden="false" customHeight="false" outlineLevel="0" collapsed="false">
      <c r="A1013" s="5" t="n">
        <v>1012</v>
      </c>
      <c r="B1013" s="5" t="s">
        <v>1177</v>
      </c>
      <c r="C1013" s="5" t="s">
        <v>464</v>
      </c>
      <c r="D1013" s="5" t="s">
        <v>36</v>
      </c>
      <c r="E1013" s="5" t="s">
        <v>1108</v>
      </c>
      <c r="F1013" s="5" t="s">
        <v>1161</v>
      </c>
      <c r="G1013" s="5" t="s">
        <v>39</v>
      </c>
      <c r="H1013" s="5" t="s">
        <v>40</v>
      </c>
      <c r="I1013" s="5" t="s">
        <v>796</v>
      </c>
      <c r="J1013" s="5" t="n">
        <v>4</v>
      </c>
      <c r="K1013" s="5"/>
      <c r="L1013" s="6"/>
      <c r="M1013" s="6"/>
      <c r="N1013" s="6"/>
      <c r="O1013" s="6"/>
      <c r="P1013" s="5" t="str">
        <f aca="false">IF(M1013="","",ROUND(M1013*IFERROR(INDEX(Weights!$B$2:$B$4,MATCH(G1013,Weights!$A$2:$A$4,0)),0)*IFERROR(INDEX(Weights!$B$7:$B$11,MATCH(E1013,Weights!$A$7:$A$11,0)),0)*IFERROR(INDEX(Weights!$B$14:$B$17,MATCH(TEXT(J1013,"0"),Weights!$A$14:$A$17,0)),0)/(1+N(N1013)/50),1))</f>
        <v/>
      </c>
      <c r="Q1013" s="5" t="s">
        <v>42</v>
      </c>
    </row>
    <row r="1014" customFormat="false" ht="15" hidden="false" customHeight="false" outlineLevel="0" collapsed="false">
      <c r="A1014" s="5" t="n">
        <v>1013</v>
      </c>
      <c r="B1014" s="5" t="s">
        <v>1178</v>
      </c>
      <c r="C1014" s="5" t="s">
        <v>464</v>
      </c>
      <c r="D1014" s="5" t="s">
        <v>36</v>
      </c>
      <c r="E1014" s="5" t="s">
        <v>1108</v>
      </c>
      <c r="F1014" s="5" t="s">
        <v>1161</v>
      </c>
      <c r="G1014" s="5" t="s">
        <v>39</v>
      </c>
      <c r="H1014" s="5" t="s">
        <v>40</v>
      </c>
      <c r="I1014" s="5" t="s">
        <v>796</v>
      </c>
      <c r="J1014" s="5" t="n">
        <v>4</v>
      </c>
      <c r="K1014" s="5"/>
      <c r="L1014" s="6"/>
      <c r="M1014" s="6"/>
      <c r="N1014" s="6"/>
      <c r="O1014" s="6"/>
      <c r="P1014" s="5" t="str">
        <f aca="false">IF(M1014="","",ROUND(M1014*IFERROR(INDEX(Weights!$B$2:$B$4,MATCH(G1014,Weights!$A$2:$A$4,0)),0)*IFERROR(INDEX(Weights!$B$7:$B$11,MATCH(E1014,Weights!$A$7:$A$11,0)),0)*IFERROR(INDEX(Weights!$B$14:$B$17,MATCH(TEXT(J1014,"0"),Weights!$A$14:$A$17,0)),0)/(1+N(N1014)/50),1))</f>
        <v/>
      </c>
      <c r="Q1014" s="5" t="s">
        <v>42</v>
      </c>
    </row>
    <row r="1015" customFormat="false" ht="15" hidden="false" customHeight="false" outlineLevel="0" collapsed="false">
      <c r="A1015" s="5" t="n">
        <v>1014</v>
      </c>
      <c r="B1015" s="5" t="s">
        <v>1179</v>
      </c>
      <c r="C1015" s="5" t="s">
        <v>456</v>
      </c>
      <c r="D1015" s="5" t="s">
        <v>36</v>
      </c>
      <c r="E1015" s="5" t="s">
        <v>1108</v>
      </c>
      <c r="F1015" s="5" t="s">
        <v>1161</v>
      </c>
      <c r="G1015" s="5" t="s">
        <v>39</v>
      </c>
      <c r="H1015" s="5" t="s">
        <v>40</v>
      </c>
      <c r="I1015" s="5" t="s">
        <v>796</v>
      </c>
      <c r="J1015" s="5" t="n">
        <v>4</v>
      </c>
      <c r="K1015" s="5"/>
      <c r="L1015" s="6"/>
      <c r="M1015" s="6"/>
      <c r="N1015" s="6"/>
      <c r="O1015" s="6"/>
      <c r="P1015" s="5" t="str">
        <f aca="false">IF(M1015="","",ROUND(M1015*IFERROR(INDEX(Weights!$B$2:$B$4,MATCH(G1015,Weights!$A$2:$A$4,0)),0)*IFERROR(INDEX(Weights!$B$7:$B$11,MATCH(E1015,Weights!$A$7:$A$11,0)),0)*IFERROR(INDEX(Weights!$B$14:$B$17,MATCH(TEXT(J1015,"0"),Weights!$A$14:$A$17,0)),0)/(1+N(N1015)/50),1))</f>
        <v/>
      </c>
      <c r="Q1015" s="5" t="s">
        <v>42</v>
      </c>
    </row>
    <row r="1016" customFormat="false" ht="15" hidden="false" customHeight="false" outlineLevel="0" collapsed="false">
      <c r="A1016" s="5" t="n">
        <v>1015</v>
      </c>
      <c r="B1016" s="5" t="s">
        <v>1180</v>
      </c>
      <c r="C1016" s="5" t="s">
        <v>456</v>
      </c>
      <c r="D1016" s="5" t="s">
        <v>36</v>
      </c>
      <c r="E1016" s="5" t="s">
        <v>1108</v>
      </c>
      <c r="F1016" s="5" t="s">
        <v>1161</v>
      </c>
      <c r="G1016" s="5" t="s">
        <v>39</v>
      </c>
      <c r="H1016" s="5" t="s">
        <v>40</v>
      </c>
      <c r="I1016" s="5" t="s">
        <v>796</v>
      </c>
      <c r="J1016" s="5" t="n">
        <v>4</v>
      </c>
      <c r="K1016" s="5"/>
      <c r="L1016" s="6"/>
      <c r="M1016" s="6"/>
      <c r="N1016" s="6"/>
      <c r="O1016" s="6"/>
      <c r="P1016" s="5" t="str">
        <f aca="false">IF(M1016="","",ROUND(M1016*IFERROR(INDEX(Weights!$B$2:$B$4,MATCH(G1016,Weights!$A$2:$A$4,0)),0)*IFERROR(INDEX(Weights!$B$7:$B$11,MATCH(E1016,Weights!$A$7:$A$11,0)),0)*IFERROR(INDEX(Weights!$B$14:$B$17,MATCH(TEXT(J1016,"0"),Weights!$A$14:$A$17,0)),0)/(1+N(N1016)/50),1))</f>
        <v/>
      </c>
      <c r="Q1016" s="5" t="s">
        <v>42</v>
      </c>
    </row>
    <row r="1017" customFormat="false" ht="15" hidden="false" customHeight="false" outlineLevel="0" collapsed="false">
      <c r="A1017" s="5" t="n">
        <v>1016</v>
      </c>
      <c r="B1017" s="5" t="s">
        <v>1181</v>
      </c>
      <c r="C1017" s="5" t="s">
        <v>64</v>
      </c>
      <c r="D1017" s="5" t="s">
        <v>36</v>
      </c>
      <c r="E1017" s="5" t="s">
        <v>1108</v>
      </c>
      <c r="F1017" s="5" t="s">
        <v>1161</v>
      </c>
      <c r="G1017" s="5" t="s">
        <v>39</v>
      </c>
      <c r="H1017" s="5" t="s">
        <v>40</v>
      </c>
      <c r="I1017" s="5" t="s">
        <v>796</v>
      </c>
      <c r="J1017" s="5" t="n">
        <v>4</v>
      </c>
      <c r="K1017" s="5"/>
      <c r="L1017" s="6"/>
      <c r="M1017" s="6"/>
      <c r="N1017" s="6"/>
      <c r="O1017" s="6"/>
      <c r="P1017" s="5" t="str">
        <f aca="false">IF(M1017="","",ROUND(M1017*IFERROR(INDEX(Weights!$B$2:$B$4,MATCH(G1017,Weights!$A$2:$A$4,0)),0)*IFERROR(INDEX(Weights!$B$7:$B$11,MATCH(E1017,Weights!$A$7:$A$11,0)),0)*IFERROR(INDEX(Weights!$B$14:$B$17,MATCH(TEXT(J1017,"0"),Weights!$A$14:$A$17,0)),0)/(1+N(N1017)/50),1))</f>
        <v/>
      </c>
      <c r="Q1017" s="5" t="s">
        <v>42</v>
      </c>
    </row>
    <row r="1018" customFormat="false" ht="15" hidden="false" customHeight="false" outlineLevel="0" collapsed="false">
      <c r="A1018" s="5" t="n">
        <v>1017</v>
      </c>
      <c r="B1018" s="5" t="s">
        <v>1182</v>
      </c>
      <c r="C1018" s="5" t="s">
        <v>64</v>
      </c>
      <c r="D1018" s="5" t="s">
        <v>36</v>
      </c>
      <c r="E1018" s="5" t="s">
        <v>1108</v>
      </c>
      <c r="F1018" s="5" t="s">
        <v>1161</v>
      </c>
      <c r="G1018" s="5" t="s">
        <v>39</v>
      </c>
      <c r="H1018" s="5" t="s">
        <v>40</v>
      </c>
      <c r="I1018" s="5" t="s">
        <v>796</v>
      </c>
      <c r="J1018" s="5" t="n">
        <v>4</v>
      </c>
      <c r="K1018" s="5"/>
      <c r="L1018" s="6"/>
      <c r="M1018" s="6"/>
      <c r="N1018" s="6"/>
      <c r="O1018" s="6"/>
      <c r="P1018" s="5" t="str">
        <f aca="false">IF(M1018="","",ROUND(M1018*IFERROR(INDEX(Weights!$B$2:$B$4,MATCH(G1018,Weights!$A$2:$A$4,0)),0)*IFERROR(INDEX(Weights!$B$7:$B$11,MATCH(E1018,Weights!$A$7:$A$11,0)),0)*IFERROR(INDEX(Weights!$B$14:$B$17,MATCH(TEXT(J1018,"0"),Weights!$A$14:$A$17,0)),0)/(1+N(N1018)/50),1))</f>
        <v/>
      </c>
      <c r="Q1018" s="5" t="s">
        <v>42</v>
      </c>
    </row>
    <row r="1019" customFormat="false" ht="15" hidden="false" customHeight="false" outlineLevel="0" collapsed="false">
      <c r="A1019" s="5" t="n">
        <v>1018</v>
      </c>
      <c r="B1019" s="5" t="s">
        <v>1183</v>
      </c>
      <c r="C1019" s="5" t="s">
        <v>61</v>
      </c>
      <c r="D1019" s="5" t="s">
        <v>36</v>
      </c>
      <c r="E1019" s="5" t="s">
        <v>1108</v>
      </c>
      <c r="F1019" s="5" t="s">
        <v>1161</v>
      </c>
      <c r="G1019" s="5" t="s">
        <v>39</v>
      </c>
      <c r="H1019" s="5" t="s">
        <v>40</v>
      </c>
      <c r="I1019" s="5" t="s">
        <v>796</v>
      </c>
      <c r="J1019" s="5" t="n">
        <v>4</v>
      </c>
      <c r="K1019" s="5"/>
      <c r="L1019" s="6"/>
      <c r="M1019" s="6"/>
      <c r="N1019" s="6"/>
      <c r="O1019" s="6"/>
      <c r="P1019" s="5" t="str">
        <f aca="false">IF(M1019="","",ROUND(M1019*IFERROR(INDEX(Weights!$B$2:$B$4,MATCH(G1019,Weights!$A$2:$A$4,0)),0)*IFERROR(INDEX(Weights!$B$7:$B$11,MATCH(E1019,Weights!$A$7:$A$11,0)),0)*IFERROR(INDEX(Weights!$B$14:$B$17,MATCH(TEXT(J1019,"0"),Weights!$A$14:$A$17,0)),0)/(1+N(N1019)/50),1))</f>
        <v/>
      </c>
      <c r="Q1019" s="5" t="s">
        <v>42</v>
      </c>
    </row>
    <row r="1020" customFormat="false" ht="15" hidden="false" customHeight="false" outlineLevel="0" collapsed="false">
      <c r="A1020" s="5" t="n">
        <v>1019</v>
      </c>
      <c r="B1020" s="5" t="s">
        <v>1184</v>
      </c>
      <c r="C1020" s="5" t="s">
        <v>66</v>
      </c>
      <c r="D1020" s="5" t="s">
        <v>36</v>
      </c>
      <c r="E1020" s="5" t="s">
        <v>1108</v>
      </c>
      <c r="F1020" s="5" t="s">
        <v>1161</v>
      </c>
      <c r="G1020" s="5" t="s">
        <v>39</v>
      </c>
      <c r="H1020" s="5" t="s">
        <v>40</v>
      </c>
      <c r="I1020" s="5" t="s">
        <v>796</v>
      </c>
      <c r="J1020" s="5" t="n">
        <v>4</v>
      </c>
      <c r="K1020" s="5"/>
      <c r="L1020" s="6"/>
      <c r="M1020" s="6"/>
      <c r="N1020" s="6"/>
      <c r="O1020" s="6"/>
      <c r="P1020" s="5" t="str">
        <f aca="false">IF(M1020="","",ROUND(M1020*IFERROR(INDEX(Weights!$B$2:$B$4,MATCH(G1020,Weights!$A$2:$A$4,0)),0)*IFERROR(INDEX(Weights!$B$7:$B$11,MATCH(E1020,Weights!$A$7:$A$11,0)),0)*IFERROR(INDEX(Weights!$B$14:$B$17,MATCH(TEXT(J1020,"0"),Weights!$A$14:$A$17,0)),0)/(1+N(N1020)/50),1))</f>
        <v/>
      </c>
      <c r="Q1020" s="5" t="s">
        <v>42</v>
      </c>
    </row>
    <row r="1021" customFormat="false" ht="15" hidden="false" customHeight="false" outlineLevel="0" collapsed="false">
      <c r="A1021" s="5" t="n">
        <v>1020</v>
      </c>
      <c r="B1021" s="5" t="s">
        <v>1185</v>
      </c>
      <c r="C1021" s="5" t="s">
        <v>69</v>
      </c>
      <c r="D1021" s="5" t="s">
        <v>36</v>
      </c>
      <c r="E1021" s="5" t="s">
        <v>1108</v>
      </c>
      <c r="F1021" s="5" t="s">
        <v>1161</v>
      </c>
      <c r="G1021" s="5" t="s">
        <v>39</v>
      </c>
      <c r="H1021" s="5" t="s">
        <v>40</v>
      </c>
      <c r="I1021" s="5" t="s">
        <v>796</v>
      </c>
      <c r="J1021" s="5" t="n">
        <v>4</v>
      </c>
      <c r="K1021" s="5"/>
      <c r="L1021" s="6"/>
      <c r="M1021" s="6"/>
      <c r="N1021" s="6"/>
      <c r="O1021" s="6"/>
      <c r="P1021" s="5" t="str">
        <f aca="false">IF(M1021="","",ROUND(M1021*IFERROR(INDEX(Weights!$B$2:$B$4,MATCH(G1021,Weights!$A$2:$A$4,0)),0)*IFERROR(INDEX(Weights!$B$7:$B$11,MATCH(E1021,Weights!$A$7:$A$11,0)),0)*IFERROR(INDEX(Weights!$B$14:$B$17,MATCH(TEXT(J1021,"0"),Weights!$A$14:$A$17,0)),0)/(1+N(N1021)/50),1))</f>
        <v/>
      </c>
      <c r="Q1021" s="5" t="s">
        <v>42</v>
      </c>
    </row>
    <row r="1022" customFormat="false" ht="15" hidden="false" customHeight="false" outlineLevel="0" collapsed="false">
      <c r="A1022" s="5" t="n">
        <v>1021</v>
      </c>
      <c r="B1022" s="5" t="s">
        <v>1186</v>
      </c>
      <c r="C1022" s="5" t="s">
        <v>35</v>
      </c>
      <c r="D1022" s="5" t="s">
        <v>36</v>
      </c>
      <c r="E1022" s="5" t="s">
        <v>1108</v>
      </c>
      <c r="F1022" s="5" t="s">
        <v>1187</v>
      </c>
      <c r="G1022" s="5" t="s">
        <v>39</v>
      </c>
      <c r="H1022" s="5" t="s">
        <v>40</v>
      </c>
      <c r="I1022" s="5" t="s">
        <v>796</v>
      </c>
      <c r="J1022" s="5" t="n">
        <v>4</v>
      </c>
      <c r="K1022" s="5"/>
      <c r="L1022" s="6"/>
      <c r="M1022" s="6"/>
      <c r="N1022" s="6"/>
      <c r="O1022" s="6"/>
      <c r="P1022" s="5" t="str">
        <f aca="false">IF(M1022="","",ROUND(M1022*IFERROR(INDEX(Weights!$B$2:$B$4,MATCH(G1022,Weights!$A$2:$A$4,0)),0)*IFERROR(INDEX(Weights!$B$7:$B$11,MATCH(E1022,Weights!$A$7:$A$11,0)),0)*IFERROR(INDEX(Weights!$B$14:$B$17,MATCH(TEXT(J1022,"0"),Weights!$A$14:$A$17,0)),0)/(1+N(N1022)/50),1))</f>
        <v/>
      </c>
      <c r="Q1022" s="5" t="s">
        <v>42</v>
      </c>
    </row>
    <row r="1023" customFormat="false" ht="15" hidden="false" customHeight="false" outlineLevel="0" collapsed="false">
      <c r="A1023" s="5" t="n">
        <v>1022</v>
      </c>
      <c r="B1023" s="5" t="s">
        <v>1188</v>
      </c>
      <c r="C1023" s="5" t="s">
        <v>35</v>
      </c>
      <c r="D1023" s="5" t="s">
        <v>36</v>
      </c>
      <c r="E1023" s="5" t="s">
        <v>1108</v>
      </c>
      <c r="F1023" s="5" t="s">
        <v>1187</v>
      </c>
      <c r="G1023" s="5" t="s">
        <v>39</v>
      </c>
      <c r="H1023" s="5" t="s">
        <v>40</v>
      </c>
      <c r="I1023" s="5" t="s">
        <v>796</v>
      </c>
      <c r="J1023" s="5" t="n">
        <v>4</v>
      </c>
      <c r="K1023" s="5"/>
      <c r="L1023" s="6"/>
      <c r="M1023" s="6"/>
      <c r="N1023" s="6"/>
      <c r="O1023" s="6"/>
      <c r="P1023" s="5" t="str">
        <f aca="false">IF(M1023="","",ROUND(M1023*IFERROR(INDEX(Weights!$B$2:$B$4,MATCH(G1023,Weights!$A$2:$A$4,0)),0)*IFERROR(INDEX(Weights!$B$7:$B$11,MATCH(E1023,Weights!$A$7:$A$11,0)),0)*IFERROR(INDEX(Weights!$B$14:$B$17,MATCH(TEXT(J1023,"0"),Weights!$A$14:$A$17,0)),0)/(1+N(N1023)/50),1))</f>
        <v/>
      </c>
      <c r="Q1023" s="5" t="s">
        <v>42</v>
      </c>
    </row>
    <row r="1024" customFormat="false" ht="15" hidden="false" customHeight="false" outlineLevel="0" collapsed="false">
      <c r="A1024" s="5" t="n">
        <v>1023</v>
      </c>
      <c r="B1024" s="5" t="s">
        <v>1189</v>
      </c>
      <c r="C1024" s="5" t="s">
        <v>35</v>
      </c>
      <c r="D1024" s="5" t="s">
        <v>36</v>
      </c>
      <c r="E1024" s="5" t="s">
        <v>1108</v>
      </c>
      <c r="F1024" s="5" t="s">
        <v>1187</v>
      </c>
      <c r="G1024" s="5" t="s">
        <v>39</v>
      </c>
      <c r="H1024" s="5" t="s">
        <v>40</v>
      </c>
      <c r="I1024" s="5" t="s">
        <v>796</v>
      </c>
      <c r="J1024" s="5" t="n">
        <v>4</v>
      </c>
      <c r="K1024" s="5"/>
      <c r="L1024" s="6"/>
      <c r="M1024" s="6"/>
      <c r="N1024" s="6"/>
      <c r="O1024" s="6"/>
      <c r="P1024" s="5" t="str">
        <f aca="false">IF(M1024="","",ROUND(M1024*IFERROR(INDEX(Weights!$B$2:$B$4,MATCH(G1024,Weights!$A$2:$A$4,0)),0)*IFERROR(INDEX(Weights!$B$7:$B$11,MATCH(E1024,Weights!$A$7:$A$11,0)),0)*IFERROR(INDEX(Weights!$B$14:$B$17,MATCH(TEXT(J1024,"0"),Weights!$A$14:$A$17,0)),0)/(1+N(N1024)/50),1))</f>
        <v/>
      </c>
      <c r="Q1024" s="5" t="s">
        <v>42</v>
      </c>
    </row>
    <row r="1025" customFormat="false" ht="15" hidden="false" customHeight="false" outlineLevel="0" collapsed="false">
      <c r="A1025" s="5" t="n">
        <v>1024</v>
      </c>
      <c r="B1025" s="5" t="s">
        <v>1190</v>
      </c>
      <c r="C1025" s="5" t="s">
        <v>47</v>
      </c>
      <c r="D1025" s="5" t="s">
        <v>36</v>
      </c>
      <c r="E1025" s="5" t="s">
        <v>1108</v>
      </c>
      <c r="F1025" s="5" t="s">
        <v>1187</v>
      </c>
      <c r="G1025" s="5" t="s">
        <v>39</v>
      </c>
      <c r="H1025" s="5" t="s">
        <v>40</v>
      </c>
      <c r="I1025" s="5" t="s">
        <v>796</v>
      </c>
      <c r="J1025" s="5" t="n">
        <v>4</v>
      </c>
      <c r="K1025" s="5"/>
      <c r="L1025" s="6"/>
      <c r="M1025" s="6"/>
      <c r="N1025" s="6"/>
      <c r="O1025" s="6"/>
      <c r="P1025" s="5" t="str">
        <f aca="false">IF(M1025="","",ROUND(M1025*IFERROR(INDEX(Weights!$B$2:$B$4,MATCH(G1025,Weights!$A$2:$A$4,0)),0)*IFERROR(INDEX(Weights!$B$7:$B$11,MATCH(E1025,Weights!$A$7:$A$11,0)),0)*IFERROR(INDEX(Weights!$B$14:$B$17,MATCH(TEXT(J1025,"0"),Weights!$A$14:$A$17,0)),0)/(1+N(N1025)/50),1))</f>
        <v/>
      </c>
      <c r="Q1025" s="5" t="s">
        <v>42</v>
      </c>
    </row>
    <row r="1026" customFormat="false" ht="15" hidden="false" customHeight="false" outlineLevel="0" collapsed="false">
      <c r="A1026" s="5" t="n">
        <v>1025</v>
      </c>
      <c r="B1026" s="5" t="s">
        <v>1191</v>
      </c>
      <c r="C1026" s="5" t="s">
        <v>47</v>
      </c>
      <c r="D1026" s="5" t="s">
        <v>36</v>
      </c>
      <c r="E1026" s="5" t="s">
        <v>1108</v>
      </c>
      <c r="F1026" s="5" t="s">
        <v>1187</v>
      </c>
      <c r="G1026" s="5" t="s">
        <v>39</v>
      </c>
      <c r="H1026" s="5" t="s">
        <v>40</v>
      </c>
      <c r="I1026" s="5" t="s">
        <v>796</v>
      </c>
      <c r="J1026" s="5" t="n">
        <v>4</v>
      </c>
      <c r="K1026" s="5"/>
      <c r="L1026" s="6"/>
      <c r="M1026" s="6"/>
      <c r="N1026" s="6"/>
      <c r="O1026" s="6"/>
      <c r="P1026" s="5" t="str">
        <f aca="false">IF(M1026="","",ROUND(M1026*IFERROR(INDEX(Weights!$B$2:$B$4,MATCH(G1026,Weights!$A$2:$A$4,0)),0)*IFERROR(INDEX(Weights!$B$7:$B$11,MATCH(E1026,Weights!$A$7:$A$11,0)),0)*IFERROR(INDEX(Weights!$B$14:$B$17,MATCH(TEXT(J1026,"0"),Weights!$A$14:$A$17,0)),0)/(1+N(N1026)/50),1))</f>
        <v/>
      </c>
      <c r="Q1026" s="5" t="s">
        <v>42</v>
      </c>
    </row>
    <row r="1027" customFormat="false" ht="15" hidden="false" customHeight="false" outlineLevel="0" collapsed="false">
      <c r="A1027" s="5" t="n">
        <v>1026</v>
      </c>
      <c r="B1027" s="5" t="s">
        <v>1192</v>
      </c>
      <c r="C1027" s="5" t="s">
        <v>47</v>
      </c>
      <c r="D1027" s="5" t="s">
        <v>36</v>
      </c>
      <c r="E1027" s="5" t="s">
        <v>1108</v>
      </c>
      <c r="F1027" s="5" t="s">
        <v>1187</v>
      </c>
      <c r="G1027" s="5" t="s">
        <v>39</v>
      </c>
      <c r="H1027" s="5" t="s">
        <v>40</v>
      </c>
      <c r="I1027" s="5" t="s">
        <v>796</v>
      </c>
      <c r="J1027" s="5" t="n">
        <v>4</v>
      </c>
      <c r="K1027" s="5"/>
      <c r="L1027" s="6"/>
      <c r="M1027" s="6"/>
      <c r="N1027" s="6"/>
      <c r="O1027" s="6"/>
      <c r="P1027" s="5" t="str">
        <f aca="false">IF(M1027="","",ROUND(M1027*IFERROR(INDEX(Weights!$B$2:$B$4,MATCH(G1027,Weights!$A$2:$A$4,0)),0)*IFERROR(INDEX(Weights!$B$7:$B$11,MATCH(E1027,Weights!$A$7:$A$11,0)),0)*IFERROR(INDEX(Weights!$B$14:$B$17,MATCH(TEXT(J1027,"0"),Weights!$A$14:$A$17,0)),0)/(1+N(N1027)/50),1))</f>
        <v/>
      </c>
      <c r="Q1027" s="5" t="s">
        <v>42</v>
      </c>
    </row>
    <row r="1028" customFormat="false" ht="15" hidden="false" customHeight="false" outlineLevel="0" collapsed="false">
      <c r="A1028" s="5" t="n">
        <v>1027</v>
      </c>
      <c r="B1028" s="5" t="s">
        <v>1193</v>
      </c>
      <c r="C1028" s="5" t="s">
        <v>47</v>
      </c>
      <c r="D1028" s="5" t="s">
        <v>36</v>
      </c>
      <c r="E1028" s="5" t="s">
        <v>1108</v>
      </c>
      <c r="F1028" s="5" t="s">
        <v>1187</v>
      </c>
      <c r="G1028" s="5" t="s">
        <v>39</v>
      </c>
      <c r="H1028" s="5" t="s">
        <v>40</v>
      </c>
      <c r="I1028" s="5" t="s">
        <v>796</v>
      </c>
      <c r="J1028" s="5" t="n">
        <v>4</v>
      </c>
      <c r="K1028" s="5"/>
      <c r="L1028" s="6"/>
      <c r="M1028" s="6"/>
      <c r="N1028" s="6"/>
      <c r="O1028" s="6"/>
      <c r="P1028" s="5" t="str">
        <f aca="false">IF(M1028="","",ROUND(M1028*IFERROR(INDEX(Weights!$B$2:$B$4,MATCH(G1028,Weights!$A$2:$A$4,0)),0)*IFERROR(INDEX(Weights!$B$7:$B$11,MATCH(E1028,Weights!$A$7:$A$11,0)),0)*IFERROR(INDEX(Weights!$B$14:$B$17,MATCH(TEXT(J1028,"0"),Weights!$A$14:$A$17,0)),0)/(1+N(N1028)/50),1))</f>
        <v/>
      </c>
      <c r="Q1028" s="5" t="s">
        <v>42</v>
      </c>
    </row>
    <row r="1029" customFormat="false" ht="15" hidden="false" customHeight="false" outlineLevel="0" collapsed="false">
      <c r="A1029" s="5" t="n">
        <v>1028</v>
      </c>
      <c r="B1029" s="5" t="s">
        <v>1194</v>
      </c>
      <c r="C1029" s="5" t="s">
        <v>51</v>
      </c>
      <c r="D1029" s="5" t="s">
        <v>36</v>
      </c>
      <c r="E1029" s="5" t="s">
        <v>1108</v>
      </c>
      <c r="F1029" s="5" t="s">
        <v>1187</v>
      </c>
      <c r="G1029" s="5" t="s">
        <v>39</v>
      </c>
      <c r="H1029" s="5" t="s">
        <v>40</v>
      </c>
      <c r="I1029" s="5" t="s">
        <v>796</v>
      </c>
      <c r="J1029" s="5" t="n">
        <v>4</v>
      </c>
      <c r="K1029" s="5"/>
      <c r="L1029" s="6"/>
      <c r="M1029" s="6"/>
      <c r="N1029" s="6"/>
      <c r="O1029" s="6"/>
      <c r="P1029" s="5" t="str">
        <f aca="false">IF(M1029="","",ROUND(M1029*IFERROR(INDEX(Weights!$B$2:$B$4,MATCH(G1029,Weights!$A$2:$A$4,0)),0)*IFERROR(INDEX(Weights!$B$7:$B$11,MATCH(E1029,Weights!$A$7:$A$11,0)),0)*IFERROR(INDEX(Weights!$B$14:$B$17,MATCH(TEXT(J1029,"0"),Weights!$A$14:$A$17,0)),0)/(1+N(N1029)/50),1))</f>
        <v/>
      </c>
      <c r="Q1029" s="5" t="s">
        <v>42</v>
      </c>
    </row>
    <row r="1030" customFormat="false" ht="15" hidden="false" customHeight="false" outlineLevel="0" collapsed="false">
      <c r="A1030" s="5" t="n">
        <v>1029</v>
      </c>
      <c r="B1030" s="5" t="s">
        <v>1195</v>
      </c>
      <c r="C1030" s="5" t="s">
        <v>51</v>
      </c>
      <c r="D1030" s="5" t="s">
        <v>36</v>
      </c>
      <c r="E1030" s="5" t="s">
        <v>1108</v>
      </c>
      <c r="F1030" s="5" t="s">
        <v>1187</v>
      </c>
      <c r="G1030" s="5" t="s">
        <v>39</v>
      </c>
      <c r="H1030" s="5" t="s">
        <v>40</v>
      </c>
      <c r="I1030" s="5" t="s">
        <v>796</v>
      </c>
      <c r="J1030" s="5" t="n">
        <v>4</v>
      </c>
      <c r="K1030" s="5"/>
      <c r="L1030" s="6"/>
      <c r="M1030" s="6"/>
      <c r="N1030" s="6"/>
      <c r="O1030" s="6"/>
      <c r="P1030" s="5" t="str">
        <f aca="false">IF(M1030="","",ROUND(M1030*IFERROR(INDEX(Weights!$B$2:$B$4,MATCH(G1030,Weights!$A$2:$A$4,0)),0)*IFERROR(INDEX(Weights!$B$7:$B$11,MATCH(E1030,Weights!$A$7:$A$11,0)),0)*IFERROR(INDEX(Weights!$B$14:$B$17,MATCH(TEXT(J1030,"0"),Weights!$A$14:$A$17,0)),0)/(1+N(N1030)/50),1))</f>
        <v/>
      </c>
      <c r="Q1030" s="5" t="s">
        <v>42</v>
      </c>
    </row>
    <row r="1031" customFormat="false" ht="15" hidden="false" customHeight="false" outlineLevel="0" collapsed="false">
      <c r="A1031" s="5" t="n">
        <v>1030</v>
      </c>
      <c r="B1031" s="5" t="s">
        <v>1196</v>
      </c>
      <c r="C1031" s="5" t="s">
        <v>51</v>
      </c>
      <c r="D1031" s="5" t="s">
        <v>36</v>
      </c>
      <c r="E1031" s="5" t="s">
        <v>1108</v>
      </c>
      <c r="F1031" s="5" t="s">
        <v>1187</v>
      </c>
      <c r="G1031" s="5" t="s">
        <v>39</v>
      </c>
      <c r="H1031" s="5" t="s">
        <v>40</v>
      </c>
      <c r="I1031" s="5" t="s">
        <v>796</v>
      </c>
      <c r="J1031" s="5" t="n">
        <v>4</v>
      </c>
      <c r="K1031" s="5"/>
      <c r="L1031" s="6"/>
      <c r="M1031" s="6"/>
      <c r="N1031" s="6"/>
      <c r="O1031" s="6"/>
      <c r="P1031" s="5" t="str">
        <f aca="false">IF(M1031="","",ROUND(M1031*IFERROR(INDEX(Weights!$B$2:$B$4,MATCH(G1031,Weights!$A$2:$A$4,0)),0)*IFERROR(INDEX(Weights!$B$7:$B$11,MATCH(E1031,Weights!$A$7:$A$11,0)),0)*IFERROR(INDEX(Weights!$B$14:$B$17,MATCH(TEXT(J1031,"0"),Weights!$A$14:$A$17,0)),0)/(1+N(N1031)/50),1))</f>
        <v/>
      </c>
      <c r="Q1031" s="5" t="s">
        <v>42</v>
      </c>
    </row>
    <row r="1032" customFormat="false" ht="15" hidden="false" customHeight="false" outlineLevel="0" collapsed="false">
      <c r="A1032" s="5" t="n">
        <v>1031</v>
      </c>
      <c r="B1032" s="5" t="s">
        <v>1197</v>
      </c>
      <c r="C1032" s="5" t="s">
        <v>54</v>
      </c>
      <c r="D1032" s="5" t="s">
        <v>36</v>
      </c>
      <c r="E1032" s="5" t="s">
        <v>1108</v>
      </c>
      <c r="F1032" s="5" t="s">
        <v>1187</v>
      </c>
      <c r="G1032" s="5" t="s">
        <v>39</v>
      </c>
      <c r="H1032" s="5" t="s">
        <v>40</v>
      </c>
      <c r="I1032" s="5" t="s">
        <v>796</v>
      </c>
      <c r="J1032" s="5" t="n">
        <v>4</v>
      </c>
      <c r="K1032" s="5"/>
      <c r="L1032" s="6"/>
      <c r="M1032" s="6"/>
      <c r="N1032" s="6"/>
      <c r="O1032" s="6"/>
      <c r="P1032" s="5" t="str">
        <f aca="false">IF(M1032="","",ROUND(M1032*IFERROR(INDEX(Weights!$B$2:$B$4,MATCH(G1032,Weights!$A$2:$A$4,0)),0)*IFERROR(INDEX(Weights!$B$7:$B$11,MATCH(E1032,Weights!$A$7:$A$11,0)),0)*IFERROR(INDEX(Weights!$B$14:$B$17,MATCH(TEXT(J1032,"0"),Weights!$A$14:$A$17,0)),0)/(1+N(N1032)/50),1))</f>
        <v/>
      </c>
      <c r="Q1032" s="5" t="s">
        <v>42</v>
      </c>
    </row>
    <row r="1033" customFormat="false" ht="15" hidden="false" customHeight="false" outlineLevel="0" collapsed="false">
      <c r="A1033" s="5" t="n">
        <v>1032</v>
      </c>
      <c r="B1033" s="5" t="s">
        <v>1198</v>
      </c>
      <c r="C1033" s="5" t="s">
        <v>54</v>
      </c>
      <c r="D1033" s="5" t="s">
        <v>36</v>
      </c>
      <c r="E1033" s="5" t="s">
        <v>1108</v>
      </c>
      <c r="F1033" s="5" t="s">
        <v>1187</v>
      </c>
      <c r="G1033" s="5" t="s">
        <v>39</v>
      </c>
      <c r="H1033" s="5" t="s">
        <v>40</v>
      </c>
      <c r="I1033" s="5" t="s">
        <v>796</v>
      </c>
      <c r="J1033" s="5" t="n">
        <v>4</v>
      </c>
      <c r="K1033" s="5"/>
      <c r="L1033" s="6"/>
      <c r="M1033" s="6"/>
      <c r="N1033" s="6"/>
      <c r="O1033" s="6"/>
      <c r="P1033" s="5" t="str">
        <f aca="false">IF(M1033="","",ROUND(M1033*IFERROR(INDEX(Weights!$B$2:$B$4,MATCH(G1033,Weights!$A$2:$A$4,0)),0)*IFERROR(INDEX(Weights!$B$7:$B$11,MATCH(E1033,Weights!$A$7:$A$11,0)),0)*IFERROR(INDEX(Weights!$B$14:$B$17,MATCH(TEXT(J1033,"0"),Weights!$A$14:$A$17,0)),0)/(1+N(N1033)/50),1))</f>
        <v/>
      </c>
      <c r="Q1033" s="5" t="s">
        <v>42</v>
      </c>
    </row>
    <row r="1034" customFormat="false" ht="15" hidden="false" customHeight="false" outlineLevel="0" collapsed="false">
      <c r="A1034" s="5" t="n">
        <v>1033</v>
      </c>
      <c r="B1034" s="5" t="s">
        <v>1199</v>
      </c>
      <c r="C1034" s="5" t="s">
        <v>57</v>
      </c>
      <c r="D1034" s="5" t="s">
        <v>36</v>
      </c>
      <c r="E1034" s="5" t="s">
        <v>1108</v>
      </c>
      <c r="F1034" s="5" t="s">
        <v>1187</v>
      </c>
      <c r="G1034" s="5" t="s">
        <v>39</v>
      </c>
      <c r="H1034" s="5" t="s">
        <v>40</v>
      </c>
      <c r="I1034" s="5" t="s">
        <v>796</v>
      </c>
      <c r="J1034" s="5" t="n">
        <v>4</v>
      </c>
      <c r="K1034" s="5"/>
      <c r="L1034" s="6"/>
      <c r="M1034" s="6"/>
      <c r="N1034" s="6"/>
      <c r="O1034" s="6"/>
      <c r="P1034" s="5" t="str">
        <f aca="false">IF(M1034="","",ROUND(M1034*IFERROR(INDEX(Weights!$B$2:$B$4,MATCH(G1034,Weights!$A$2:$A$4,0)),0)*IFERROR(INDEX(Weights!$B$7:$B$11,MATCH(E1034,Weights!$A$7:$A$11,0)),0)*IFERROR(INDEX(Weights!$B$14:$B$17,MATCH(TEXT(J1034,"0"),Weights!$A$14:$A$17,0)),0)/(1+N(N1034)/50),1))</f>
        <v/>
      </c>
      <c r="Q1034" s="5" t="s">
        <v>42</v>
      </c>
    </row>
    <row r="1035" customFormat="false" ht="15" hidden="false" customHeight="false" outlineLevel="0" collapsed="false">
      <c r="A1035" s="5" t="n">
        <v>1034</v>
      </c>
      <c r="B1035" s="5" t="s">
        <v>1200</v>
      </c>
      <c r="C1035" s="5" t="s">
        <v>57</v>
      </c>
      <c r="D1035" s="5" t="s">
        <v>36</v>
      </c>
      <c r="E1035" s="5" t="s">
        <v>1108</v>
      </c>
      <c r="F1035" s="5" t="s">
        <v>1187</v>
      </c>
      <c r="G1035" s="5" t="s">
        <v>39</v>
      </c>
      <c r="H1035" s="5" t="s">
        <v>40</v>
      </c>
      <c r="I1035" s="5" t="s">
        <v>796</v>
      </c>
      <c r="J1035" s="5" t="n">
        <v>4</v>
      </c>
      <c r="K1035" s="5"/>
      <c r="L1035" s="6"/>
      <c r="M1035" s="6"/>
      <c r="N1035" s="6"/>
      <c r="O1035" s="6"/>
      <c r="P1035" s="5" t="str">
        <f aca="false">IF(M1035="","",ROUND(M1035*IFERROR(INDEX(Weights!$B$2:$B$4,MATCH(G1035,Weights!$A$2:$A$4,0)),0)*IFERROR(INDEX(Weights!$B$7:$B$11,MATCH(E1035,Weights!$A$7:$A$11,0)),0)*IFERROR(INDEX(Weights!$B$14:$B$17,MATCH(TEXT(J1035,"0"),Weights!$A$14:$A$17,0)),0)/(1+N(N1035)/50),1))</f>
        <v/>
      </c>
      <c r="Q1035" s="5" t="s">
        <v>42</v>
      </c>
    </row>
    <row r="1036" customFormat="false" ht="15" hidden="false" customHeight="false" outlineLevel="0" collapsed="false">
      <c r="A1036" s="5" t="n">
        <v>1035</v>
      </c>
      <c r="B1036" s="5" t="s">
        <v>1201</v>
      </c>
      <c r="C1036" s="5" t="s">
        <v>57</v>
      </c>
      <c r="D1036" s="5" t="s">
        <v>36</v>
      </c>
      <c r="E1036" s="5" t="s">
        <v>1108</v>
      </c>
      <c r="F1036" s="5" t="s">
        <v>1187</v>
      </c>
      <c r="G1036" s="5" t="s">
        <v>39</v>
      </c>
      <c r="H1036" s="5" t="s">
        <v>40</v>
      </c>
      <c r="I1036" s="5" t="s">
        <v>796</v>
      </c>
      <c r="J1036" s="5" t="n">
        <v>4</v>
      </c>
      <c r="K1036" s="5"/>
      <c r="L1036" s="6"/>
      <c r="M1036" s="6"/>
      <c r="N1036" s="6"/>
      <c r="O1036" s="6"/>
      <c r="P1036" s="5" t="str">
        <f aca="false">IF(M1036="","",ROUND(M1036*IFERROR(INDEX(Weights!$B$2:$B$4,MATCH(G1036,Weights!$A$2:$A$4,0)),0)*IFERROR(INDEX(Weights!$B$7:$B$11,MATCH(E1036,Weights!$A$7:$A$11,0)),0)*IFERROR(INDEX(Weights!$B$14:$B$17,MATCH(TEXT(J1036,"0"),Weights!$A$14:$A$17,0)),0)/(1+N(N1036)/50),1))</f>
        <v/>
      </c>
      <c r="Q1036" s="5" t="s">
        <v>42</v>
      </c>
    </row>
    <row r="1037" customFormat="false" ht="15" hidden="false" customHeight="false" outlineLevel="0" collapsed="false">
      <c r="A1037" s="5" t="n">
        <v>1036</v>
      </c>
      <c r="B1037" s="5" t="s">
        <v>1202</v>
      </c>
      <c r="C1037" s="5" t="s">
        <v>464</v>
      </c>
      <c r="D1037" s="5" t="s">
        <v>36</v>
      </c>
      <c r="E1037" s="5" t="s">
        <v>1108</v>
      </c>
      <c r="F1037" s="5" t="s">
        <v>1187</v>
      </c>
      <c r="G1037" s="5" t="s">
        <v>39</v>
      </c>
      <c r="H1037" s="5" t="s">
        <v>40</v>
      </c>
      <c r="I1037" s="5" t="s">
        <v>796</v>
      </c>
      <c r="J1037" s="5" t="n">
        <v>4</v>
      </c>
      <c r="K1037" s="5"/>
      <c r="L1037" s="6"/>
      <c r="M1037" s="6"/>
      <c r="N1037" s="6"/>
      <c r="O1037" s="6"/>
      <c r="P1037" s="5" t="str">
        <f aca="false">IF(M1037="","",ROUND(M1037*IFERROR(INDEX(Weights!$B$2:$B$4,MATCH(G1037,Weights!$A$2:$A$4,0)),0)*IFERROR(INDEX(Weights!$B$7:$B$11,MATCH(E1037,Weights!$A$7:$A$11,0)),0)*IFERROR(INDEX(Weights!$B$14:$B$17,MATCH(TEXT(J1037,"0"),Weights!$A$14:$A$17,0)),0)/(1+N(N1037)/50),1))</f>
        <v/>
      </c>
      <c r="Q1037" s="5" t="s">
        <v>42</v>
      </c>
    </row>
    <row r="1038" customFormat="false" ht="15" hidden="false" customHeight="false" outlineLevel="0" collapsed="false">
      <c r="A1038" s="5" t="n">
        <v>1037</v>
      </c>
      <c r="B1038" s="5" t="s">
        <v>1203</v>
      </c>
      <c r="C1038" s="5" t="s">
        <v>464</v>
      </c>
      <c r="D1038" s="5" t="s">
        <v>36</v>
      </c>
      <c r="E1038" s="5" t="s">
        <v>1108</v>
      </c>
      <c r="F1038" s="5" t="s">
        <v>1187</v>
      </c>
      <c r="G1038" s="5" t="s">
        <v>39</v>
      </c>
      <c r="H1038" s="5" t="s">
        <v>40</v>
      </c>
      <c r="I1038" s="5" t="s">
        <v>796</v>
      </c>
      <c r="J1038" s="5" t="n">
        <v>4</v>
      </c>
      <c r="K1038" s="5"/>
      <c r="L1038" s="6"/>
      <c r="M1038" s="6"/>
      <c r="N1038" s="6"/>
      <c r="O1038" s="6"/>
      <c r="P1038" s="5" t="str">
        <f aca="false">IF(M1038="","",ROUND(M1038*IFERROR(INDEX(Weights!$B$2:$B$4,MATCH(G1038,Weights!$A$2:$A$4,0)),0)*IFERROR(INDEX(Weights!$B$7:$B$11,MATCH(E1038,Weights!$A$7:$A$11,0)),0)*IFERROR(INDEX(Weights!$B$14:$B$17,MATCH(TEXT(J1038,"0"),Weights!$A$14:$A$17,0)),0)/(1+N(N1038)/50),1))</f>
        <v/>
      </c>
      <c r="Q1038" s="5" t="s">
        <v>42</v>
      </c>
    </row>
    <row r="1039" customFormat="false" ht="15" hidden="false" customHeight="false" outlineLevel="0" collapsed="false">
      <c r="A1039" s="5" t="n">
        <v>1038</v>
      </c>
      <c r="B1039" s="5" t="s">
        <v>1204</v>
      </c>
      <c r="C1039" s="5" t="s">
        <v>464</v>
      </c>
      <c r="D1039" s="5" t="s">
        <v>36</v>
      </c>
      <c r="E1039" s="5" t="s">
        <v>1108</v>
      </c>
      <c r="F1039" s="5" t="s">
        <v>1187</v>
      </c>
      <c r="G1039" s="5" t="s">
        <v>39</v>
      </c>
      <c r="H1039" s="5" t="s">
        <v>40</v>
      </c>
      <c r="I1039" s="5" t="s">
        <v>796</v>
      </c>
      <c r="J1039" s="5" t="n">
        <v>4</v>
      </c>
      <c r="K1039" s="5"/>
      <c r="L1039" s="6"/>
      <c r="M1039" s="6"/>
      <c r="N1039" s="6"/>
      <c r="O1039" s="6"/>
      <c r="P1039" s="5" t="str">
        <f aca="false">IF(M1039="","",ROUND(M1039*IFERROR(INDEX(Weights!$B$2:$B$4,MATCH(G1039,Weights!$A$2:$A$4,0)),0)*IFERROR(INDEX(Weights!$B$7:$B$11,MATCH(E1039,Weights!$A$7:$A$11,0)),0)*IFERROR(INDEX(Weights!$B$14:$B$17,MATCH(TEXT(J1039,"0"),Weights!$A$14:$A$17,0)),0)/(1+N(N1039)/50),1))</f>
        <v/>
      </c>
      <c r="Q1039" s="5" t="s">
        <v>42</v>
      </c>
    </row>
    <row r="1040" customFormat="false" ht="15" hidden="false" customHeight="false" outlineLevel="0" collapsed="false">
      <c r="A1040" s="5" t="n">
        <v>1039</v>
      </c>
      <c r="B1040" s="5" t="s">
        <v>1205</v>
      </c>
      <c r="C1040" s="5" t="s">
        <v>456</v>
      </c>
      <c r="D1040" s="5" t="s">
        <v>36</v>
      </c>
      <c r="E1040" s="5" t="s">
        <v>1108</v>
      </c>
      <c r="F1040" s="5" t="s">
        <v>1187</v>
      </c>
      <c r="G1040" s="5" t="s">
        <v>39</v>
      </c>
      <c r="H1040" s="5" t="s">
        <v>40</v>
      </c>
      <c r="I1040" s="5" t="s">
        <v>796</v>
      </c>
      <c r="J1040" s="5" t="n">
        <v>4</v>
      </c>
      <c r="K1040" s="5"/>
      <c r="L1040" s="6"/>
      <c r="M1040" s="6"/>
      <c r="N1040" s="6"/>
      <c r="O1040" s="6"/>
      <c r="P1040" s="5" t="str">
        <f aca="false">IF(M1040="","",ROUND(M1040*IFERROR(INDEX(Weights!$B$2:$B$4,MATCH(G1040,Weights!$A$2:$A$4,0)),0)*IFERROR(INDEX(Weights!$B$7:$B$11,MATCH(E1040,Weights!$A$7:$A$11,0)),0)*IFERROR(INDEX(Weights!$B$14:$B$17,MATCH(TEXT(J1040,"0"),Weights!$A$14:$A$17,0)),0)/(1+N(N1040)/50),1))</f>
        <v/>
      </c>
      <c r="Q1040" s="5" t="s">
        <v>42</v>
      </c>
    </row>
    <row r="1041" customFormat="false" ht="15" hidden="false" customHeight="false" outlineLevel="0" collapsed="false">
      <c r="A1041" s="5" t="n">
        <v>1040</v>
      </c>
      <c r="B1041" s="5" t="s">
        <v>1206</v>
      </c>
      <c r="C1041" s="5" t="s">
        <v>456</v>
      </c>
      <c r="D1041" s="5" t="s">
        <v>36</v>
      </c>
      <c r="E1041" s="5" t="s">
        <v>1108</v>
      </c>
      <c r="F1041" s="5" t="s">
        <v>1187</v>
      </c>
      <c r="G1041" s="5" t="s">
        <v>39</v>
      </c>
      <c r="H1041" s="5" t="s">
        <v>40</v>
      </c>
      <c r="I1041" s="5" t="s">
        <v>796</v>
      </c>
      <c r="J1041" s="5" t="n">
        <v>4</v>
      </c>
      <c r="K1041" s="5"/>
      <c r="L1041" s="6"/>
      <c r="M1041" s="6"/>
      <c r="N1041" s="6"/>
      <c r="O1041" s="6"/>
      <c r="P1041" s="5" t="str">
        <f aca="false">IF(M1041="","",ROUND(M1041*IFERROR(INDEX(Weights!$B$2:$B$4,MATCH(G1041,Weights!$A$2:$A$4,0)),0)*IFERROR(INDEX(Weights!$B$7:$B$11,MATCH(E1041,Weights!$A$7:$A$11,0)),0)*IFERROR(INDEX(Weights!$B$14:$B$17,MATCH(TEXT(J1041,"0"),Weights!$A$14:$A$17,0)),0)/(1+N(N1041)/50),1))</f>
        <v/>
      </c>
      <c r="Q1041" s="5" t="s">
        <v>42</v>
      </c>
    </row>
    <row r="1042" customFormat="false" ht="15" hidden="false" customHeight="false" outlineLevel="0" collapsed="false">
      <c r="A1042" s="5" t="n">
        <v>1041</v>
      </c>
      <c r="B1042" s="5" t="s">
        <v>1207</v>
      </c>
      <c r="C1042" s="5" t="s">
        <v>64</v>
      </c>
      <c r="D1042" s="5" t="s">
        <v>36</v>
      </c>
      <c r="E1042" s="5" t="s">
        <v>1108</v>
      </c>
      <c r="F1042" s="5" t="s">
        <v>1187</v>
      </c>
      <c r="G1042" s="5" t="s">
        <v>39</v>
      </c>
      <c r="H1042" s="5" t="s">
        <v>40</v>
      </c>
      <c r="I1042" s="5" t="s">
        <v>796</v>
      </c>
      <c r="J1042" s="5" t="n">
        <v>4</v>
      </c>
      <c r="K1042" s="5"/>
      <c r="L1042" s="6"/>
      <c r="M1042" s="6"/>
      <c r="N1042" s="6"/>
      <c r="O1042" s="6"/>
      <c r="P1042" s="5" t="str">
        <f aca="false">IF(M1042="","",ROUND(M1042*IFERROR(INDEX(Weights!$B$2:$B$4,MATCH(G1042,Weights!$A$2:$A$4,0)),0)*IFERROR(INDEX(Weights!$B$7:$B$11,MATCH(E1042,Weights!$A$7:$A$11,0)),0)*IFERROR(INDEX(Weights!$B$14:$B$17,MATCH(TEXT(J1042,"0"),Weights!$A$14:$A$17,0)),0)/(1+N(N1042)/50),1))</f>
        <v/>
      </c>
      <c r="Q1042" s="5" t="s">
        <v>42</v>
      </c>
    </row>
    <row r="1043" customFormat="false" ht="15" hidden="false" customHeight="false" outlineLevel="0" collapsed="false">
      <c r="A1043" s="5" t="n">
        <v>1042</v>
      </c>
      <c r="B1043" s="5" t="s">
        <v>1208</v>
      </c>
      <c r="C1043" s="5" t="s">
        <v>64</v>
      </c>
      <c r="D1043" s="5" t="s">
        <v>36</v>
      </c>
      <c r="E1043" s="5" t="s">
        <v>1108</v>
      </c>
      <c r="F1043" s="5" t="s">
        <v>1187</v>
      </c>
      <c r="G1043" s="5" t="s">
        <v>39</v>
      </c>
      <c r="H1043" s="5" t="s">
        <v>40</v>
      </c>
      <c r="I1043" s="5" t="s">
        <v>796</v>
      </c>
      <c r="J1043" s="5" t="n">
        <v>4</v>
      </c>
      <c r="K1043" s="5"/>
      <c r="L1043" s="6"/>
      <c r="M1043" s="6"/>
      <c r="N1043" s="6"/>
      <c r="O1043" s="6"/>
      <c r="P1043" s="5" t="str">
        <f aca="false">IF(M1043="","",ROUND(M1043*IFERROR(INDEX(Weights!$B$2:$B$4,MATCH(G1043,Weights!$A$2:$A$4,0)),0)*IFERROR(INDEX(Weights!$B$7:$B$11,MATCH(E1043,Weights!$A$7:$A$11,0)),0)*IFERROR(INDEX(Weights!$B$14:$B$17,MATCH(TEXT(J1043,"0"),Weights!$A$14:$A$17,0)),0)/(1+N(N1043)/50),1))</f>
        <v/>
      </c>
      <c r="Q1043" s="5" t="s">
        <v>42</v>
      </c>
    </row>
    <row r="1044" customFormat="false" ht="15" hidden="false" customHeight="false" outlineLevel="0" collapsed="false">
      <c r="A1044" s="5" t="n">
        <v>1043</v>
      </c>
      <c r="B1044" s="5" t="s">
        <v>1209</v>
      </c>
      <c r="C1044" s="5" t="s">
        <v>61</v>
      </c>
      <c r="D1044" s="5" t="s">
        <v>36</v>
      </c>
      <c r="E1044" s="5" t="s">
        <v>1108</v>
      </c>
      <c r="F1044" s="5" t="s">
        <v>1187</v>
      </c>
      <c r="G1044" s="5" t="s">
        <v>39</v>
      </c>
      <c r="H1044" s="5" t="s">
        <v>40</v>
      </c>
      <c r="I1044" s="5" t="s">
        <v>796</v>
      </c>
      <c r="J1044" s="5" t="n">
        <v>4</v>
      </c>
      <c r="K1044" s="5"/>
      <c r="L1044" s="6"/>
      <c r="M1044" s="6"/>
      <c r="N1044" s="6"/>
      <c r="O1044" s="6"/>
      <c r="P1044" s="5" t="str">
        <f aca="false">IF(M1044="","",ROUND(M1044*IFERROR(INDEX(Weights!$B$2:$B$4,MATCH(G1044,Weights!$A$2:$A$4,0)),0)*IFERROR(INDEX(Weights!$B$7:$B$11,MATCH(E1044,Weights!$A$7:$A$11,0)),0)*IFERROR(INDEX(Weights!$B$14:$B$17,MATCH(TEXT(J1044,"0"),Weights!$A$14:$A$17,0)),0)/(1+N(N1044)/50),1))</f>
        <v/>
      </c>
      <c r="Q1044" s="5" t="s">
        <v>42</v>
      </c>
    </row>
    <row r="1045" customFormat="false" ht="15" hidden="false" customHeight="false" outlineLevel="0" collapsed="false">
      <c r="A1045" s="5" t="n">
        <v>1044</v>
      </c>
      <c r="B1045" s="5" t="s">
        <v>1210</v>
      </c>
      <c r="C1045" s="5" t="s">
        <v>66</v>
      </c>
      <c r="D1045" s="5" t="s">
        <v>36</v>
      </c>
      <c r="E1045" s="5" t="s">
        <v>1108</v>
      </c>
      <c r="F1045" s="5" t="s">
        <v>1187</v>
      </c>
      <c r="G1045" s="5" t="s">
        <v>39</v>
      </c>
      <c r="H1045" s="5" t="s">
        <v>40</v>
      </c>
      <c r="I1045" s="5" t="s">
        <v>796</v>
      </c>
      <c r="J1045" s="5" t="n">
        <v>4</v>
      </c>
      <c r="K1045" s="5"/>
      <c r="L1045" s="6"/>
      <c r="M1045" s="6"/>
      <c r="N1045" s="6"/>
      <c r="O1045" s="6"/>
      <c r="P1045" s="5" t="str">
        <f aca="false">IF(M1045="","",ROUND(M1045*IFERROR(INDEX(Weights!$B$2:$B$4,MATCH(G1045,Weights!$A$2:$A$4,0)),0)*IFERROR(INDEX(Weights!$B$7:$B$11,MATCH(E1045,Weights!$A$7:$A$11,0)),0)*IFERROR(INDEX(Weights!$B$14:$B$17,MATCH(TEXT(J1045,"0"),Weights!$A$14:$A$17,0)),0)/(1+N(N1045)/50),1))</f>
        <v/>
      </c>
      <c r="Q1045" s="5" t="s">
        <v>42</v>
      </c>
    </row>
    <row r="1046" customFormat="false" ht="15" hidden="false" customHeight="false" outlineLevel="0" collapsed="false">
      <c r="A1046" s="5" t="n">
        <v>1045</v>
      </c>
      <c r="B1046" s="5" t="s">
        <v>1211</v>
      </c>
      <c r="C1046" s="5" t="s">
        <v>69</v>
      </c>
      <c r="D1046" s="5" t="s">
        <v>36</v>
      </c>
      <c r="E1046" s="5" t="s">
        <v>1108</v>
      </c>
      <c r="F1046" s="5" t="s">
        <v>1187</v>
      </c>
      <c r="G1046" s="5" t="s">
        <v>39</v>
      </c>
      <c r="H1046" s="5" t="s">
        <v>40</v>
      </c>
      <c r="I1046" s="5" t="s">
        <v>796</v>
      </c>
      <c r="J1046" s="5" t="n">
        <v>4</v>
      </c>
      <c r="K1046" s="5"/>
      <c r="L1046" s="6"/>
      <c r="M1046" s="6"/>
      <c r="N1046" s="6"/>
      <c r="O1046" s="6"/>
      <c r="P1046" s="5" t="str">
        <f aca="false">IF(M1046="","",ROUND(M1046*IFERROR(INDEX(Weights!$B$2:$B$4,MATCH(G1046,Weights!$A$2:$A$4,0)),0)*IFERROR(INDEX(Weights!$B$7:$B$11,MATCH(E1046,Weights!$A$7:$A$11,0)),0)*IFERROR(INDEX(Weights!$B$14:$B$17,MATCH(TEXT(J1046,"0"),Weights!$A$14:$A$17,0)),0)/(1+N(N1046)/50),1))</f>
        <v/>
      </c>
      <c r="Q1046" s="5" t="s">
        <v>42</v>
      </c>
    </row>
    <row r="1047" customFormat="false" ht="15" hidden="false" customHeight="false" outlineLevel="0" collapsed="false">
      <c r="A1047" s="5" t="n">
        <v>1046</v>
      </c>
      <c r="B1047" s="5" t="s">
        <v>1212</v>
      </c>
      <c r="C1047" s="5" t="s">
        <v>35</v>
      </c>
      <c r="D1047" s="5" t="s">
        <v>36</v>
      </c>
      <c r="E1047" s="5" t="s">
        <v>1108</v>
      </c>
      <c r="F1047" s="5" t="s">
        <v>1213</v>
      </c>
      <c r="G1047" s="5" t="s">
        <v>39</v>
      </c>
      <c r="H1047" s="5" t="s">
        <v>40</v>
      </c>
      <c r="I1047" s="5" t="s">
        <v>796</v>
      </c>
      <c r="J1047" s="5" t="n">
        <v>4</v>
      </c>
      <c r="K1047" s="5"/>
      <c r="L1047" s="6"/>
      <c r="M1047" s="6"/>
      <c r="N1047" s="6"/>
      <c r="O1047" s="6"/>
      <c r="P1047" s="5" t="str">
        <f aca="false">IF(M1047="","",ROUND(M1047*IFERROR(INDEX(Weights!$B$2:$B$4,MATCH(G1047,Weights!$A$2:$A$4,0)),0)*IFERROR(INDEX(Weights!$B$7:$B$11,MATCH(E1047,Weights!$A$7:$A$11,0)),0)*IFERROR(INDEX(Weights!$B$14:$B$17,MATCH(TEXT(J1047,"0"),Weights!$A$14:$A$17,0)),0)/(1+N(N1047)/50),1))</f>
        <v/>
      </c>
      <c r="Q1047" s="5" t="s">
        <v>42</v>
      </c>
    </row>
    <row r="1048" customFormat="false" ht="15" hidden="false" customHeight="false" outlineLevel="0" collapsed="false">
      <c r="A1048" s="5" t="n">
        <v>1047</v>
      </c>
      <c r="B1048" s="5" t="s">
        <v>1214</v>
      </c>
      <c r="C1048" s="5" t="s">
        <v>35</v>
      </c>
      <c r="D1048" s="5" t="s">
        <v>36</v>
      </c>
      <c r="E1048" s="5" t="s">
        <v>1108</v>
      </c>
      <c r="F1048" s="5" t="s">
        <v>1213</v>
      </c>
      <c r="G1048" s="5" t="s">
        <v>39</v>
      </c>
      <c r="H1048" s="5" t="s">
        <v>40</v>
      </c>
      <c r="I1048" s="5" t="s">
        <v>796</v>
      </c>
      <c r="J1048" s="5" t="n">
        <v>4</v>
      </c>
      <c r="K1048" s="5"/>
      <c r="L1048" s="6"/>
      <c r="M1048" s="6"/>
      <c r="N1048" s="6"/>
      <c r="O1048" s="6"/>
      <c r="P1048" s="5" t="str">
        <f aca="false">IF(M1048="","",ROUND(M1048*IFERROR(INDEX(Weights!$B$2:$B$4,MATCH(G1048,Weights!$A$2:$A$4,0)),0)*IFERROR(INDEX(Weights!$B$7:$B$11,MATCH(E1048,Weights!$A$7:$A$11,0)),0)*IFERROR(INDEX(Weights!$B$14:$B$17,MATCH(TEXT(J1048,"0"),Weights!$A$14:$A$17,0)),0)/(1+N(N1048)/50),1))</f>
        <v/>
      </c>
      <c r="Q1048" s="5" t="s">
        <v>42</v>
      </c>
    </row>
    <row r="1049" customFormat="false" ht="15" hidden="false" customHeight="false" outlineLevel="0" collapsed="false">
      <c r="A1049" s="5" t="n">
        <v>1048</v>
      </c>
      <c r="B1049" s="5" t="s">
        <v>1215</v>
      </c>
      <c r="C1049" s="5" t="s">
        <v>35</v>
      </c>
      <c r="D1049" s="5" t="s">
        <v>36</v>
      </c>
      <c r="E1049" s="5" t="s">
        <v>1108</v>
      </c>
      <c r="F1049" s="5" t="s">
        <v>1213</v>
      </c>
      <c r="G1049" s="5" t="s">
        <v>39</v>
      </c>
      <c r="H1049" s="5" t="s">
        <v>40</v>
      </c>
      <c r="I1049" s="5" t="s">
        <v>796</v>
      </c>
      <c r="J1049" s="5" t="n">
        <v>4</v>
      </c>
      <c r="K1049" s="5"/>
      <c r="L1049" s="6"/>
      <c r="M1049" s="6"/>
      <c r="N1049" s="6"/>
      <c r="O1049" s="6"/>
      <c r="P1049" s="5" t="str">
        <f aca="false">IF(M1049="","",ROUND(M1049*IFERROR(INDEX(Weights!$B$2:$B$4,MATCH(G1049,Weights!$A$2:$A$4,0)),0)*IFERROR(INDEX(Weights!$B$7:$B$11,MATCH(E1049,Weights!$A$7:$A$11,0)),0)*IFERROR(INDEX(Weights!$B$14:$B$17,MATCH(TEXT(J1049,"0"),Weights!$A$14:$A$17,0)),0)/(1+N(N1049)/50),1))</f>
        <v/>
      </c>
      <c r="Q1049" s="5" t="s">
        <v>42</v>
      </c>
    </row>
    <row r="1050" customFormat="false" ht="15" hidden="false" customHeight="false" outlineLevel="0" collapsed="false">
      <c r="A1050" s="5" t="n">
        <v>1049</v>
      </c>
      <c r="B1050" s="5" t="s">
        <v>1216</v>
      </c>
      <c r="C1050" s="5" t="s">
        <v>47</v>
      </c>
      <c r="D1050" s="5" t="s">
        <v>36</v>
      </c>
      <c r="E1050" s="5" t="s">
        <v>1108</v>
      </c>
      <c r="F1050" s="5" t="s">
        <v>1213</v>
      </c>
      <c r="G1050" s="5" t="s">
        <v>39</v>
      </c>
      <c r="H1050" s="5" t="s">
        <v>40</v>
      </c>
      <c r="I1050" s="5" t="s">
        <v>796</v>
      </c>
      <c r="J1050" s="5" t="n">
        <v>4</v>
      </c>
      <c r="K1050" s="5"/>
      <c r="L1050" s="6"/>
      <c r="M1050" s="6"/>
      <c r="N1050" s="6"/>
      <c r="O1050" s="6"/>
      <c r="P1050" s="5" t="str">
        <f aca="false">IF(M1050="","",ROUND(M1050*IFERROR(INDEX(Weights!$B$2:$B$4,MATCH(G1050,Weights!$A$2:$A$4,0)),0)*IFERROR(INDEX(Weights!$B$7:$B$11,MATCH(E1050,Weights!$A$7:$A$11,0)),0)*IFERROR(INDEX(Weights!$B$14:$B$17,MATCH(TEXT(J1050,"0"),Weights!$A$14:$A$17,0)),0)/(1+N(N1050)/50),1))</f>
        <v/>
      </c>
      <c r="Q1050" s="5" t="s">
        <v>42</v>
      </c>
    </row>
    <row r="1051" customFormat="false" ht="15" hidden="false" customHeight="false" outlineLevel="0" collapsed="false">
      <c r="A1051" s="5" t="n">
        <v>1050</v>
      </c>
      <c r="B1051" s="5" t="s">
        <v>1217</v>
      </c>
      <c r="C1051" s="5" t="s">
        <v>47</v>
      </c>
      <c r="D1051" s="5" t="s">
        <v>36</v>
      </c>
      <c r="E1051" s="5" t="s">
        <v>1108</v>
      </c>
      <c r="F1051" s="5" t="s">
        <v>1213</v>
      </c>
      <c r="G1051" s="5" t="s">
        <v>39</v>
      </c>
      <c r="H1051" s="5" t="s">
        <v>40</v>
      </c>
      <c r="I1051" s="5" t="s">
        <v>796</v>
      </c>
      <c r="J1051" s="5" t="n">
        <v>4</v>
      </c>
      <c r="K1051" s="5"/>
      <c r="L1051" s="6"/>
      <c r="M1051" s="6"/>
      <c r="N1051" s="6"/>
      <c r="O1051" s="6"/>
      <c r="P1051" s="5" t="str">
        <f aca="false">IF(M1051="","",ROUND(M1051*IFERROR(INDEX(Weights!$B$2:$B$4,MATCH(G1051,Weights!$A$2:$A$4,0)),0)*IFERROR(INDEX(Weights!$B$7:$B$11,MATCH(E1051,Weights!$A$7:$A$11,0)),0)*IFERROR(INDEX(Weights!$B$14:$B$17,MATCH(TEXT(J1051,"0"),Weights!$A$14:$A$17,0)),0)/(1+N(N1051)/50),1))</f>
        <v/>
      </c>
      <c r="Q1051" s="5" t="s">
        <v>42</v>
      </c>
    </row>
    <row r="1052" customFormat="false" ht="15" hidden="false" customHeight="false" outlineLevel="0" collapsed="false">
      <c r="A1052" s="5" t="n">
        <v>1051</v>
      </c>
      <c r="B1052" s="5" t="s">
        <v>1218</v>
      </c>
      <c r="C1052" s="5" t="s">
        <v>47</v>
      </c>
      <c r="D1052" s="5" t="s">
        <v>36</v>
      </c>
      <c r="E1052" s="5" t="s">
        <v>1108</v>
      </c>
      <c r="F1052" s="5" t="s">
        <v>1213</v>
      </c>
      <c r="G1052" s="5" t="s">
        <v>39</v>
      </c>
      <c r="H1052" s="5" t="s">
        <v>40</v>
      </c>
      <c r="I1052" s="5" t="s">
        <v>796</v>
      </c>
      <c r="J1052" s="5" t="n">
        <v>4</v>
      </c>
      <c r="K1052" s="5"/>
      <c r="L1052" s="6"/>
      <c r="M1052" s="6"/>
      <c r="N1052" s="6"/>
      <c r="O1052" s="6"/>
      <c r="P1052" s="5" t="str">
        <f aca="false">IF(M1052="","",ROUND(M1052*IFERROR(INDEX(Weights!$B$2:$B$4,MATCH(G1052,Weights!$A$2:$A$4,0)),0)*IFERROR(INDEX(Weights!$B$7:$B$11,MATCH(E1052,Weights!$A$7:$A$11,0)),0)*IFERROR(INDEX(Weights!$B$14:$B$17,MATCH(TEXT(J1052,"0"),Weights!$A$14:$A$17,0)),0)/(1+N(N1052)/50),1))</f>
        <v/>
      </c>
      <c r="Q1052" s="5" t="s">
        <v>42</v>
      </c>
    </row>
    <row r="1053" customFormat="false" ht="15" hidden="false" customHeight="false" outlineLevel="0" collapsed="false">
      <c r="A1053" s="5" t="n">
        <v>1052</v>
      </c>
      <c r="B1053" s="5" t="s">
        <v>1219</v>
      </c>
      <c r="C1053" s="5" t="s">
        <v>47</v>
      </c>
      <c r="D1053" s="5" t="s">
        <v>36</v>
      </c>
      <c r="E1053" s="5" t="s">
        <v>1108</v>
      </c>
      <c r="F1053" s="5" t="s">
        <v>1213</v>
      </c>
      <c r="G1053" s="5" t="s">
        <v>39</v>
      </c>
      <c r="H1053" s="5" t="s">
        <v>40</v>
      </c>
      <c r="I1053" s="5" t="s">
        <v>796</v>
      </c>
      <c r="J1053" s="5" t="n">
        <v>4</v>
      </c>
      <c r="K1053" s="5"/>
      <c r="L1053" s="6"/>
      <c r="M1053" s="6"/>
      <c r="N1053" s="6"/>
      <c r="O1053" s="6"/>
      <c r="P1053" s="5" t="str">
        <f aca="false">IF(M1053="","",ROUND(M1053*IFERROR(INDEX(Weights!$B$2:$B$4,MATCH(G1053,Weights!$A$2:$A$4,0)),0)*IFERROR(INDEX(Weights!$B$7:$B$11,MATCH(E1053,Weights!$A$7:$A$11,0)),0)*IFERROR(INDEX(Weights!$B$14:$B$17,MATCH(TEXT(J1053,"0"),Weights!$A$14:$A$17,0)),0)/(1+N(N1053)/50),1))</f>
        <v/>
      </c>
      <c r="Q1053" s="5" t="s">
        <v>42</v>
      </c>
    </row>
    <row r="1054" customFormat="false" ht="15" hidden="false" customHeight="false" outlineLevel="0" collapsed="false">
      <c r="A1054" s="5" t="n">
        <v>1053</v>
      </c>
      <c r="B1054" s="5" t="s">
        <v>1220</v>
      </c>
      <c r="C1054" s="5" t="s">
        <v>51</v>
      </c>
      <c r="D1054" s="5" t="s">
        <v>36</v>
      </c>
      <c r="E1054" s="5" t="s">
        <v>1108</v>
      </c>
      <c r="F1054" s="5" t="s">
        <v>1213</v>
      </c>
      <c r="G1054" s="5" t="s">
        <v>39</v>
      </c>
      <c r="H1054" s="5" t="s">
        <v>40</v>
      </c>
      <c r="I1054" s="5" t="s">
        <v>796</v>
      </c>
      <c r="J1054" s="5" t="n">
        <v>4</v>
      </c>
      <c r="K1054" s="5"/>
      <c r="L1054" s="6"/>
      <c r="M1054" s="6"/>
      <c r="N1054" s="6"/>
      <c r="O1054" s="6"/>
      <c r="P1054" s="5" t="str">
        <f aca="false">IF(M1054="","",ROUND(M1054*IFERROR(INDEX(Weights!$B$2:$B$4,MATCH(G1054,Weights!$A$2:$A$4,0)),0)*IFERROR(INDEX(Weights!$B$7:$B$11,MATCH(E1054,Weights!$A$7:$A$11,0)),0)*IFERROR(INDEX(Weights!$B$14:$B$17,MATCH(TEXT(J1054,"0"),Weights!$A$14:$A$17,0)),0)/(1+N(N1054)/50),1))</f>
        <v/>
      </c>
      <c r="Q1054" s="5" t="s">
        <v>42</v>
      </c>
    </row>
    <row r="1055" customFormat="false" ht="15" hidden="false" customHeight="false" outlineLevel="0" collapsed="false">
      <c r="A1055" s="5" t="n">
        <v>1054</v>
      </c>
      <c r="B1055" s="5" t="s">
        <v>1221</v>
      </c>
      <c r="C1055" s="5" t="s">
        <v>51</v>
      </c>
      <c r="D1055" s="5" t="s">
        <v>36</v>
      </c>
      <c r="E1055" s="5" t="s">
        <v>1108</v>
      </c>
      <c r="F1055" s="5" t="s">
        <v>1213</v>
      </c>
      <c r="G1055" s="5" t="s">
        <v>39</v>
      </c>
      <c r="H1055" s="5" t="s">
        <v>40</v>
      </c>
      <c r="I1055" s="5" t="s">
        <v>796</v>
      </c>
      <c r="J1055" s="5" t="n">
        <v>4</v>
      </c>
      <c r="K1055" s="5"/>
      <c r="L1055" s="6"/>
      <c r="M1055" s="6"/>
      <c r="N1055" s="6"/>
      <c r="O1055" s="6"/>
      <c r="P1055" s="5" t="str">
        <f aca="false">IF(M1055="","",ROUND(M1055*IFERROR(INDEX(Weights!$B$2:$B$4,MATCH(G1055,Weights!$A$2:$A$4,0)),0)*IFERROR(INDEX(Weights!$B$7:$B$11,MATCH(E1055,Weights!$A$7:$A$11,0)),0)*IFERROR(INDEX(Weights!$B$14:$B$17,MATCH(TEXT(J1055,"0"),Weights!$A$14:$A$17,0)),0)/(1+N(N1055)/50),1))</f>
        <v/>
      </c>
      <c r="Q1055" s="5" t="s">
        <v>42</v>
      </c>
    </row>
    <row r="1056" customFormat="false" ht="15" hidden="false" customHeight="false" outlineLevel="0" collapsed="false">
      <c r="A1056" s="5" t="n">
        <v>1055</v>
      </c>
      <c r="B1056" s="5" t="s">
        <v>1222</v>
      </c>
      <c r="C1056" s="5" t="s">
        <v>51</v>
      </c>
      <c r="D1056" s="5" t="s">
        <v>36</v>
      </c>
      <c r="E1056" s="5" t="s">
        <v>1108</v>
      </c>
      <c r="F1056" s="5" t="s">
        <v>1213</v>
      </c>
      <c r="G1056" s="5" t="s">
        <v>39</v>
      </c>
      <c r="H1056" s="5" t="s">
        <v>40</v>
      </c>
      <c r="I1056" s="5" t="s">
        <v>796</v>
      </c>
      <c r="J1056" s="5" t="n">
        <v>4</v>
      </c>
      <c r="K1056" s="5"/>
      <c r="L1056" s="6"/>
      <c r="M1056" s="6"/>
      <c r="N1056" s="6"/>
      <c r="O1056" s="6"/>
      <c r="P1056" s="5" t="str">
        <f aca="false">IF(M1056="","",ROUND(M1056*IFERROR(INDEX(Weights!$B$2:$B$4,MATCH(G1056,Weights!$A$2:$A$4,0)),0)*IFERROR(INDEX(Weights!$B$7:$B$11,MATCH(E1056,Weights!$A$7:$A$11,0)),0)*IFERROR(INDEX(Weights!$B$14:$B$17,MATCH(TEXT(J1056,"0"),Weights!$A$14:$A$17,0)),0)/(1+N(N1056)/50),1))</f>
        <v/>
      </c>
      <c r="Q1056" s="5" t="s">
        <v>42</v>
      </c>
    </row>
    <row r="1057" customFormat="false" ht="15" hidden="false" customHeight="false" outlineLevel="0" collapsed="false">
      <c r="A1057" s="5" t="n">
        <v>1056</v>
      </c>
      <c r="B1057" s="5" t="s">
        <v>1223</v>
      </c>
      <c r="C1057" s="5" t="s">
        <v>54</v>
      </c>
      <c r="D1057" s="5" t="s">
        <v>36</v>
      </c>
      <c r="E1057" s="5" t="s">
        <v>1108</v>
      </c>
      <c r="F1057" s="5" t="s">
        <v>1213</v>
      </c>
      <c r="G1057" s="5" t="s">
        <v>39</v>
      </c>
      <c r="H1057" s="5" t="s">
        <v>40</v>
      </c>
      <c r="I1057" s="5" t="s">
        <v>796</v>
      </c>
      <c r="J1057" s="5" t="n">
        <v>4</v>
      </c>
      <c r="K1057" s="5"/>
      <c r="L1057" s="6"/>
      <c r="M1057" s="6"/>
      <c r="N1057" s="6"/>
      <c r="O1057" s="6"/>
      <c r="P1057" s="5" t="str">
        <f aca="false">IF(M1057="","",ROUND(M1057*IFERROR(INDEX(Weights!$B$2:$B$4,MATCH(G1057,Weights!$A$2:$A$4,0)),0)*IFERROR(INDEX(Weights!$B$7:$B$11,MATCH(E1057,Weights!$A$7:$A$11,0)),0)*IFERROR(INDEX(Weights!$B$14:$B$17,MATCH(TEXT(J1057,"0"),Weights!$A$14:$A$17,0)),0)/(1+N(N1057)/50),1))</f>
        <v/>
      </c>
      <c r="Q1057" s="5" t="s">
        <v>42</v>
      </c>
    </row>
    <row r="1058" customFormat="false" ht="15" hidden="false" customHeight="false" outlineLevel="0" collapsed="false">
      <c r="A1058" s="5" t="n">
        <v>1057</v>
      </c>
      <c r="B1058" s="5" t="s">
        <v>1224</v>
      </c>
      <c r="C1058" s="5" t="s">
        <v>54</v>
      </c>
      <c r="D1058" s="5" t="s">
        <v>36</v>
      </c>
      <c r="E1058" s="5" t="s">
        <v>1108</v>
      </c>
      <c r="F1058" s="5" t="s">
        <v>1213</v>
      </c>
      <c r="G1058" s="5" t="s">
        <v>39</v>
      </c>
      <c r="H1058" s="5" t="s">
        <v>40</v>
      </c>
      <c r="I1058" s="5" t="s">
        <v>796</v>
      </c>
      <c r="J1058" s="5" t="n">
        <v>4</v>
      </c>
      <c r="K1058" s="5"/>
      <c r="L1058" s="6"/>
      <c r="M1058" s="6"/>
      <c r="N1058" s="6"/>
      <c r="O1058" s="6"/>
      <c r="P1058" s="5" t="str">
        <f aca="false">IF(M1058="","",ROUND(M1058*IFERROR(INDEX(Weights!$B$2:$B$4,MATCH(G1058,Weights!$A$2:$A$4,0)),0)*IFERROR(INDEX(Weights!$B$7:$B$11,MATCH(E1058,Weights!$A$7:$A$11,0)),0)*IFERROR(INDEX(Weights!$B$14:$B$17,MATCH(TEXT(J1058,"0"),Weights!$A$14:$A$17,0)),0)/(1+N(N1058)/50),1))</f>
        <v/>
      </c>
      <c r="Q1058" s="5" t="s">
        <v>42</v>
      </c>
    </row>
    <row r="1059" customFormat="false" ht="15" hidden="false" customHeight="false" outlineLevel="0" collapsed="false">
      <c r="A1059" s="5" t="n">
        <v>1058</v>
      </c>
      <c r="B1059" s="5" t="s">
        <v>1225</v>
      </c>
      <c r="C1059" s="5" t="s">
        <v>57</v>
      </c>
      <c r="D1059" s="5" t="s">
        <v>36</v>
      </c>
      <c r="E1059" s="5" t="s">
        <v>1108</v>
      </c>
      <c r="F1059" s="5" t="s">
        <v>1213</v>
      </c>
      <c r="G1059" s="5" t="s">
        <v>39</v>
      </c>
      <c r="H1059" s="5" t="s">
        <v>40</v>
      </c>
      <c r="I1059" s="5" t="s">
        <v>796</v>
      </c>
      <c r="J1059" s="5" t="n">
        <v>4</v>
      </c>
      <c r="K1059" s="5"/>
      <c r="L1059" s="6"/>
      <c r="M1059" s="6"/>
      <c r="N1059" s="6"/>
      <c r="O1059" s="6"/>
      <c r="P1059" s="5" t="str">
        <f aca="false">IF(M1059="","",ROUND(M1059*IFERROR(INDEX(Weights!$B$2:$B$4,MATCH(G1059,Weights!$A$2:$A$4,0)),0)*IFERROR(INDEX(Weights!$B$7:$B$11,MATCH(E1059,Weights!$A$7:$A$11,0)),0)*IFERROR(INDEX(Weights!$B$14:$B$17,MATCH(TEXT(J1059,"0"),Weights!$A$14:$A$17,0)),0)/(1+N(N1059)/50),1))</f>
        <v/>
      </c>
      <c r="Q1059" s="5" t="s">
        <v>42</v>
      </c>
    </row>
    <row r="1060" customFormat="false" ht="15" hidden="false" customHeight="false" outlineLevel="0" collapsed="false">
      <c r="A1060" s="5" t="n">
        <v>1059</v>
      </c>
      <c r="B1060" s="5" t="s">
        <v>1226</v>
      </c>
      <c r="C1060" s="5" t="s">
        <v>57</v>
      </c>
      <c r="D1060" s="5" t="s">
        <v>36</v>
      </c>
      <c r="E1060" s="5" t="s">
        <v>1108</v>
      </c>
      <c r="F1060" s="5" t="s">
        <v>1213</v>
      </c>
      <c r="G1060" s="5" t="s">
        <v>39</v>
      </c>
      <c r="H1060" s="5" t="s">
        <v>40</v>
      </c>
      <c r="I1060" s="5" t="s">
        <v>796</v>
      </c>
      <c r="J1060" s="5" t="n">
        <v>4</v>
      </c>
      <c r="K1060" s="5"/>
      <c r="L1060" s="6"/>
      <c r="M1060" s="6"/>
      <c r="N1060" s="6"/>
      <c r="O1060" s="6"/>
      <c r="P1060" s="5" t="str">
        <f aca="false">IF(M1060="","",ROUND(M1060*IFERROR(INDEX(Weights!$B$2:$B$4,MATCH(G1060,Weights!$A$2:$A$4,0)),0)*IFERROR(INDEX(Weights!$B$7:$B$11,MATCH(E1060,Weights!$A$7:$A$11,0)),0)*IFERROR(INDEX(Weights!$B$14:$B$17,MATCH(TEXT(J1060,"0"),Weights!$A$14:$A$17,0)),0)/(1+N(N1060)/50),1))</f>
        <v/>
      </c>
      <c r="Q1060" s="5" t="s">
        <v>42</v>
      </c>
    </row>
    <row r="1061" customFormat="false" ht="15" hidden="false" customHeight="false" outlineLevel="0" collapsed="false">
      <c r="A1061" s="5" t="n">
        <v>1060</v>
      </c>
      <c r="B1061" s="5" t="s">
        <v>1227</v>
      </c>
      <c r="C1061" s="5" t="s">
        <v>57</v>
      </c>
      <c r="D1061" s="5" t="s">
        <v>36</v>
      </c>
      <c r="E1061" s="5" t="s">
        <v>1108</v>
      </c>
      <c r="F1061" s="5" t="s">
        <v>1213</v>
      </c>
      <c r="G1061" s="5" t="s">
        <v>39</v>
      </c>
      <c r="H1061" s="5" t="s">
        <v>40</v>
      </c>
      <c r="I1061" s="5" t="s">
        <v>796</v>
      </c>
      <c r="J1061" s="5" t="n">
        <v>4</v>
      </c>
      <c r="K1061" s="5"/>
      <c r="L1061" s="6"/>
      <c r="M1061" s="6"/>
      <c r="N1061" s="6"/>
      <c r="O1061" s="6"/>
      <c r="P1061" s="5" t="str">
        <f aca="false">IF(M1061="","",ROUND(M1061*IFERROR(INDEX(Weights!$B$2:$B$4,MATCH(G1061,Weights!$A$2:$A$4,0)),0)*IFERROR(INDEX(Weights!$B$7:$B$11,MATCH(E1061,Weights!$A$7:$A$11,0)),0)*IFERROR(INDEX(Weights!$B$14:$B$17,MATCH(TEXT(J1061,"0"),Weights!$A$14:$A$17,0)),0)/(1+N(N1061)/50),1))</f>
        <v/>
      </c>
      <c r="Q1061" s="5" t="s">
        <v>42</v>
      </c>
    </row>
    <row r="1062" customFormat="false" ht="15" hidden="false" customHeight="false" outlineLevel="0" collapsed="false">
      <c r="A1062" s="5" t="n">
        <v>1061</v>
      </c>
      <c r="B1062" s="5" t="s">
        <v>1228</v>
      </c>
      <c r="C1062" s="5" t="s">
        <v>464</v>
      </c>
      <c r="D1062" s="5" t="s">
        <v>36</v>
      </c>
      <c r="E1062" s="5" t="s">
        <v>1108</v>
      </c>
      <c r="F1062" s="5" t="s">
        <v>1213</v>
      </c>
      <c r="G1062" s="5" t="s">
        <v>39</v>
      </c>
      <c r="H1062" s="5" t="s">
        <v>40</v>
      </c>
      <c r="I1062" s="5" t="s">
        <v>796</v>
      </c>
      <c r="J1062" s="5" t="n">
        <v>4</v>
      </c>
      <c r="K1062" s="5"/>
      <c r="L1062" s="6"/>
      <c r="M1062" s="6"/>
      <c r="N1062" s="6"/>
      <c r="O1062" s="6"/>
      <c r="P1062" s="5" t="str">
        <f aca="false">IF(M1062="","",ROUND(M1062*IFERROR(INDEX(Weights!$B$2:$B$4,MATCH(G1062,Weights!$A$2:$A$4,0)),0)*IFERROR(INDEX(Weights!$B$7:$B$11,MATCH(E1062,Weights!$A$7:$A$11,0)),0)*IFERROR(INDEX(Weights!$B$14:$B$17,MATCH(TEXT(J1062,"0"),Weights!$A$14:$A$17,0)),0)/(1+N(N1062)/50),1))</f>
        <v/>
      </c>
      <c r="Q1062" s="5" t="s">
        <v>42</v>
      </c>
    </row>
    <row r="1063" customFormat="false" ht="15" hidden="false" customHeight="false" outlineLevel="0" collapsed="false">
      <c r="A1063" s="5" t="n">
        <v>1062</v>
      </c>
      <c r="B1063" s="5" t="s">
        <v>1229</v>
      </c>
      <c r="C1063" s="5" t="s">
        <v>464</v>
      </c>
      <c r="D1063" s="5" t="s">
        <v>36</v>
      </c>
      <c r="E1063" s="5" t="s">
        <v>1108</v>
      </c>
      <c r="F1063" s="5" t="s">
        <v>1213</v>
      </c>
      <c r="G1063" s="5" t="s">
        <v>39</v>
      </c>
      <c r="H1063" s="5" t="s">
        <v>40</v>
      </c>
      <c r="I1063" s="5" t="s">
        <v>796</v>
      </c>
      <c r="J1063" s="5" t="n">
        <v>4</v>
      </c>
      <c r="K1063" s="5"/>
      <c r="L1063" s="6"/>
      <c r="M1063" s="6"/>
      <c r="N1063" s="6"/>
      <c r="O1063" s="6"/>
      <c r="P1063" s="5" t="str">
        <f aca="false">IF(M1063="","",ROUND(M1063*IFERROR(INDEX(Weights!$B$2:$B$4,MATCH(G1063,Weights!$A$2:$A$4,0)),0)*IFERROR(INDEX(Weights!$B$7:$B$11,MATCH(E1063,Weights!$A$7:$A$11,0)),0)*IFERROR(INDEX(Weights!$B$14:$B$17,MATCH(TEXT(J1063,"0"),Weights!$A$14:$A$17,0)),0)/(1+N(N1063)/50),1))</f>
        <v/>
      </c>
      <c r="Q1063" s="5" t="s">
        <v>42</v>
      </c>
    </row>
    <row r="1064" customFormat="false" ht="15" hidden="false" customHeight="false" outlineLevel="0" collapsed="false">
      <c r="A1064" s="5" t="n">
        <v>1063</v>
      </c>
      <c r="B1064" s="5" t="s">
        <v>1230</v>
      </c>
      <c r="C1064" s="5" t="s">
        <v>464</v>
      </c>
      <c r="D1064" s="5" t="s">
        <v>36</v>
      </c>
      <c r="E1064" s="5" t="s">
        <v>1108</v>
      </c>
      <c r="F1064" s="5" t="s">
        <v>1213</v>
      </c>
      <c r="G1064" s="5" t="s">
        <v>39</v>
      </c>
      <c r="H1064" s="5" t="s">
        <v>40</v>
      </c>
      <c r="I1064" s="5" t="s">
        <v>796</v>
      </c>
      <c r="J1064" s="5" t="n">
        <v>4</v>
      </c>
      <c r="K1064" s="5"/>
      <c r="L1064" s="6"/>
      <c r="M1064" s="6"/>
      <c r="N1064" s="6"/>
      <c r="O1064" s="6"/>
      <c r="P1064" s="5" t="str">
        <f aca="false">IF(M1064="","",ROUND(M1064*IFERROR(INDEX(Weights!$B$2:$B$4,MATCH(G1064,Weights!$A$2:$A$4,0)),0)*IFERROR(INDEX(Weights!$B$7:$B$11,MATCH(E1064,Weights!$A$7:$A$11,0)),0)*IFERROR(INDEX(Weights!$B$14:$B$17,MATCH(TEXT(J1064,"0"),Weights!$A$14:$A$17,0)),0)/(1+N(N1064)/50),1))</f>
        <v/>
      </c>
      <c r="Q1064" s="5" t="s">
        <v>42</v>
      </c>
    </row>
    <row r="1065" customFormat="false" ht="15" hidden="false" customHeight="false" outlineLevel="0" collapsed="false">
      <c r="A1065" s="5" t="n">
        <v>1064</v>
      </c>
      <c r="B1065" s="5" t="s">
        <v>1231</v>
      </c>
      <c r="C1065" s="5" t="s">
        <v>456</v>
      </c>
      <c r="D1065" s="5" t="s">
        <v>36</v>
      </c>
      <c r="E1065" s="5" t="s">
        <v>1108</v>
      </c>
      <c r="F1065" s="5" t="s">
        <v>1213</v>
      </c>
      <c r="G1065" s="5" t="s">
        <v>39</v>
      </c>
      <c r="H1065" s="5" t="s">
        <v>40</v>
      </c>
      <c r="I1065" s="5" t="s">
        <v>796</v>
      </c>
      <c r="J1065" s="5" t="n">
        <v>4</v>
      </c>
      <c r="K1065" s="5"/>
      <c r="L1065" s="6"/>
      <c r="M1065" s="6"/>
      <c r="N1065" s="6"/>
      <c r="O1065" s="6"/>
      <c r="P1065" s="5" t="str">
        <f aca="false">IF(M1065="","",ROUND(M1065*IFERROR(INDEX(Weights!$B$2:$B$4,MATCH(G1065,Weights!$A$2:$A$4,0)),0)*IFERROR(INDEX(Weights!$B$7:$B$11,MATCH(E1065,Weights!$A$7:$A$11,0)),0)*IFERROR(INDEX(Weights!$B$14:$B$17,MATCH(TEXT(J1065,"0"),Weights!$A$14:$A$17,0)),0)/(1+N(N1065)/50),1))</f>
        <v/>
      </c>
      <c r="Q1065" s="5" t="s">
        <v>42</v>
      </c>
    </row>
    <row r="1066" customFormat="false" ht="15" hidden="false" customHeight="false" outlineLevel="0" collapsed="false">
      <c r="A1066" s="5" t="n">
        <v>1065</v>
      </c>
      <c r="B1066" s="5" t="s">
        <v>1232</v>
      </c>
      <c r="C1066" s="5" t="s">
        <v>456</v>
      </c>
      <c r="D1066" s="5" t="s">
        <v>36</v>
      </c>
      <c r="E1066" s="5" t="s">
        <v>1108</v>
      </c>
      <c r="F1066" s="5" t="s">
        <v>1213</v>
      </c>
      <c r="G1066" s="5" t="s">
        <v>39</v>
      </c>
      <c r="H1066" s="5" t="s">
        <v>40</v>
      </c>
      <c r="I1066" s="5" t="s">
        <v>796</v>
      </c>
      <c r="J1066" s="5" t="n">
        <v>4</v>
      </c>
      <c r="K1066" s="5"/>
      <c r="L1066" s="6"/>
      <c r="M1066" s="6"/>
      <c r="N1066" s="6"/>
      <c r="O1066" s="6"/>
      <c r="P1066" s="5" t="str">
        <f aca="false">IF(M1066="","",ROUND(M1066*IFERROR(INDEX(Weights!$B$2:$B$4,MATCH(G1066,Weights!$A$2:$A$4,0)),0)*IFERROR(INDEX(Weights!$B$7:$B$11,MATCH(E1066,Weights!$A$7:$A$11,0)),0)*IFERROR(INDEX(Weights!$B$14:$B$17,MATCH(TEXT(J1066,"0"),Weights!$A$14:$A$17,0)),0)/(1+N(N1066)/50),1))</f>
        <v/>
      </c>
      <c r="Q1066" s="5" t="s">
        <v>42</v>
      </c>
    </row>
    <row r="1067" customFormat="false" ht="15" hidden="false" customHeight="false" outlineLevel="0" collapsed="false">
      <c r="A1067" s="5" t="n">
        <v>1066</v>
      </c>
      <c r="B1067" s="5" t="s">
        <v>1233</v>
      </c>
      <c r="C1067" s="5" t="s">
        <v>64</v>
      </c>
      <c r="D1067" s="5" t="s">
        <v>36</v>
      </c>
      <c r="E1067" s="5" t="s">
        <v>1108</v>
      </c>
      <c r="F1067" s="5" t="s">
        <v>1213</v>
      </c>
      <c r="G1067" s="5" t="s">
        <v>39</v>
      </c>
      <c r="H1067" s="5" t="s">
        <v>40</v>
      </c>
      <c r="I1067" s="5" t="s">
        <v>796</v>
      </c>
      <c r="J1067" s="5" t="n">
        <v>4</v>
      </c>
      <c r="K1067" s="5"/>
      <c r="L1067" s="6"/>
      <c r="M1067" s="6"/>
      <c r="N1067" s="6"/>
      <c r="O1067" s="6"/>
      <c r="P1067" s="5" t="str">
        <f aca="false">IF(M1067="","",ROUND(M1067*IFERROR(INDEX(Weights!$B$2:$B$4,MATCH(G1067,Weights!$A$2:$A$4,0)),0)*IFERROR(INDEX(Weights!$B$7:$B$11,MATCH(E1067,Weights!$A$7:$A$11,0)),0)*IFERROR(INDEX(Weights!$B$14:$B$17,MATCH(TEXT(J1067,"0"),Weights!$A$14:$A$17,0)),0)/(1+N(N1067)/50),1))</f>
        <v/>
      </c>
      <c r="Q1067" s="5" t="s">
        <v>42</v>
      </c>
    </row>
    <row r="1068" customFormat="false" ht="15" hidden="false" customHeight="false" outlineLevel="0" collapsed="false">
      <c r="A1068" s="5" t="n">
        <v>1067</v>
      </c>
      <c r="B1068" s="5" t="s">
        <v>1234</v>
      </c>
      <c r="C1068" s="5" t="s">
        <v>64</v>
      </c>
      <c r="D1068" s="5" t="s">
        <v>36</v>
      </c>
      <c r="E1068" s="5" t="s">
        <v>1108</v>
      </c>
      <c r="F1068" s="5" t="s">
        <v>1213</v>
      </c>
      <c r="G1068" s="5" t="s">
        <v>39</v>
      </c>
      <c r="H1068" s="5" t="s">
        <v>40</v>
      </c>
      <c r="I1068" s="5" t="s">
        <v>796</v>
      </c>
      <c r="J1068" s="5" t="n">
        <v>4</v>
      </c>
      <c r="K1068" s="5"/>
      <c r="L1068" s="6"/>
      <c r="M1068" s="6"/>
      <c r="N1068" s="6"/>
      <c r="O1068" s="6"/>
      <c r="P1068" s="5" t="str">
        <f aca="false">IF(M1068="","",ROUND(M1068*IFERROR(INDEX(Weights!$B$2:$B$4,MATCH(G1068,Weights!$A$2:$A$4,0)),0)*IFERROR(INDEX(Weights!$B$7:$B$11,MATCH(E1068,Weights!$A$7:$A$11,0)),0)*IFERROR(INDEX(Weights!$B$14:$B$17,MATCH(TEXT(J1068,"0"),Weights!$A$14:$A$17,0)),0)/(1+N(N1068)/50),1))</f>
        <v/>
      </c>
      <c r="Q1068" s="5" t="s">
        <v>42</v>
      </c>
    </row>
    <row r="1069" customFormat="false" ht="15" hidden="false" customHeight="false" outlineLevel="0" collapsed="false">
      <c r="A1069" s="5" t="n">
        <v>1068</v>
      </c>
      <c r="B1069" s="5" t="s">
        <v>1235</v>
      </c>
      <c r="C1069" s="5" t="s">
        <v>61</v>
      </c>
      <c r="D1069" s="5" t="s">
        <v>36</v>
      </c>
      <c r="E1069" s="5" t="s">
        <v>1108</v>
      </c>
      <c r="F1069" s="5" t="s">
        <v>1213</v>
      </c>
      <c r="G1069" s="5" t="s">
        <v>39</v>
      </c>
      <c r="H1069" s="5" t="s">
        <v>40</v>
      </c>
      <c r="I1069" s="5" t="s">
        <v>796</v>
      </c>
      <c r="J1069" s="5" t="n">
        <v>4</v>
      </c>
      <c r="K1069" s="5"/>
      <c r="L1069" s="6"/>
      <c r="M1069" s="6"/>
      <c r="N1069" s="6"/>
      <c r="O1069" s="6"/>
      <c r="P1069" s="5" t="str">
        <f aca="false">IF(M1069="","",ROUND(M1069*IFERROR(INDEX(Weights!$B$2:$B$4,MATCH(G1069,Weights!$A$2:$A$4,0)),0)*IFERROR(INDEX(Weights!$B$7:$B$11,MATCH(E1069,Weights!$A$7:$A$11,0)),0)*IFERROR(INDEX(Weights!$B$14:$B$17,MATCH(TEXT(J1069,"0"),Weights!$A$14:$A$17,0)),0)/(1+N(N1069)/50),1))</f>
        <v/>
      </c>
      <c r="Q1069" s="5" t="s">
        <v>42</v>
      </c>
    </row>
    <row r="1070" customFormat="false" ht="15" hidden="false" customHeight="false" outlineLevel="0" collapsed="false">
      <c r="A1070" s="5" t="n">
        <v>1069</v>
      </c>
      <c r="B1070" s="5" t="s">
        <v>1236</v>
      </c>
      <c r="C1070" s="5" t="s">
        <v>66</v>
      </c>
      <c r="D1070" s="5" t="s">
        <v>36</v>
      </c>
      <c r="E1070" s="5" t="s">
        <v>1108</v>
      </c>
      <c r="F1070" s="5" t="s">
        <v>1213</v>
      </c>
      <c r="G1070" s="5" t="s">
        <v>39</v>
      </c>
      <c r="H1070" s="5" t="s">
        <v>40</v>
      </c>
      <c r="I1070" s="5" t="s">
        <v>796</v>
      </c>
      <c r="J1070" s="5" t="n">
        <v>4</v>
      </c>
      <c r="K1070" s="5"/>
      <c r="L1070" s="6"/>
      <c r="M1070" s="6"/>
      <c r="N1070" s="6"/>
      <c r="O1070" s="6"/>
      <c r="P1070" s="5" t="str">
        <f aca="false">IF(M1070="","",ROUND(M1070*IFERROR(INDEX(Weights!$B$2:$B$4,MATCH(G1070,Weights!$A$2:$A$4,0)),0)*IFERROR(INDEX(Weights!$B$7:$B$11,MATCH(E1070,Weights!$A$7:$A$11,0)),0)*IFERROR(INDEX(Weights!$B$14:$B$17,MATCH(TEXT(J1070,"0"),Weights!$A$14:$A$17,0)),0)/(1+N(N1070)/50),1))</f>
        <v/>
      </c>
      <c r="Q1070" s="5" t="s">
        <v>42</v>
      </c>
    </row>
    <row r="1071" customFormat="false" ht="15" hidden="false" customHeight="false" outlineLevel="0" collapsed="false">
      <c r="A1071" s="5" t="n">
        <v>1070</v>
      </c>
      <c r="B1071" s="5" t="s">
        <v>1237</v>
      </c>
      <c r="C1071" s="5" t="s">
        <v>69</v>
      </c>
      <c r="D1071" s="5" t="s">
        <v>36</v>
      </c>
      <c r="E1071" s="5" t="s">
        <v>1108</v>
      </c>
      <c r="F1071" s="5" t="s">
        <v>1213</v>
      </c>
      <c r="G1071" s="5" t="s">
        <v>39</v>
      </c>
      <c r="H1071" s="5" t="s">
        <v>40</v>
      </c>
      <c r="I1071" s="5" t="s">
        <v>796</v>
      </c>
      <c r="J1071" s="5" t="n">
        <v>4</v>
      </c>
      <c r="K1071" s="5"/>
      <c r="L1071" s="6"/>
      <c r="M1071" s="6"/>
      <c r="N1071" s="6"/>
      <c r="O1071" s="6"/>
      <c r="P1071" s="5" t="str">
        <f aca="false">IF(M1071="","",ROUND(M1071*IFERROR(INDEX(Weights!$B$2:$B$4,MATCH(G1071,Weights!$A$2:$A$4,0)),0)*IFERROR(INDEX(Weights!$B$7:$B$11,MATCH(E1071,Weights!$A$7:$A$11,0)),0)*IFERROR(INDEX(Weights!$B$14:$B$17,MATCH(TEXT(J1071,"0"),Weights!$A$14:$A$17,0)),0)/(1+N(N1071)/50),1))</f>
        <v/>
      </c>
      <c r="Q1071" s="5" t="s">
        <v>42</v>
      </c>
    </row>
    <row r="1072" customFormat="false" ht="15" hidden="false" customHeight="false" outlineLevel="0" collapsed="false">
      <c r="A1072" s="5" t="n">
        <v>1071</v>
      </c>
      <c r="B1072" s="5" t="s">
        <v>1238</v>
      </c>
      <c r="C1072" s="5" t="s">
        <v>35</v>
      </c>
      <c r="D1072" s="5" t="s">
        <v>36</v>
      </c>
      <c r="E1072" s="5" t="s">
        <v>1108</v>
      </c>
      <c r="F1072" s="5" t="s">
        <v>1239</v>
      </c>
      <c r="G1072" s="5" t="s">
        <v>39</v>
      </c>
      <c r="H1072" s="5" t="s">
        <v>40</v>
      </c>
      <c r="I1072" s="5" t="s">
        <v>796</v>
      </c>
      <c r="J1072" s="5" t="n">
        <v>4</v>
      </c>
      <c r="K1072" s="5"/>
      <c r="L1072" s="6"/>
      <c r="M1072" s="6"/>
      <c r="N1072" s="6"/>
      <c r="O1072" s="6"/>
      <c r="P1072" s="5" t="str">
        <f aca="false">IF(M1072="","",ROUND(M1072*IFERROR(INDEX(Weights!$B$2:$B$4,MATCH(G1072,Weights!$A$2:$A$4,0)),0)*IFERROR(INDEX(Weights!$B$7:$B$11,MATCH(E1072,Weights!$A$7:$A$11,0)),0)*IFERROR(INDEX(Weights!$B$14:$B$17,MATCH(TEXT(J1072,"0"),Weights!$A$14:$A$17,0)),0)/(1+N(N1072)/50),1))</f>
        <v/>
      </c>
      <c r="Q1072" s="5" t="s">
        <v>42</v>
      </c>
    </row>
    <row r="1073" customFormat="false" ht="15" hidden="false" customHeight="false" outlineLevel="0" collapsed="false">
      <c r="A1073" s="5" t="n">
        <v>1072</v>
      </c>
      <c r="B1073" s="5" t="s">
        <v>1240</v>
      </c>
      <c r="C1073" s="5" t="s">
        <v>35</v>
      </c>
      <c r="D1073" s="5" t="s">
        <v>36</v>
      </c>
      <c r="E1073" s="5" t="s">
        <v>1108</v>
      </c>
      <c r="F1073" s="5" t="s">
        <v>1239</v>
      </c>
      <c r="G1073" s="5" t="s">
        <v>39</v>
      </c>
      <c r="H1073" s="5" t="s">
        <v>40</v>
      </c>
      <c r="I1073" s="5" t="s">
        <v>796</v>
      </c>
      <c r="J1073" s="5" t="n">
        <v>4</v>
      </c>
      <c r="K1073" s="5"/>
      <c r="L1073" s="6"/>
      <c r="M1073" s="6"/>
      <c r="N1073" s="6"/>
      <c r="O1073" s="6"/>
      <c r="P1073" s="5" t="str">
        <f aca="false">IF(M1073="","",ROUND(M1073*IFERROR(INDEX(Weights!$B$2:$B$4,MATCH(G1073,Weights!$A$2:$A$4,0)),0)*IFERROR(INDEX(Weights!$B$7:$B$11,MATCH(E1073,Weights!$A$7:$A$11,0)),0)*IFERROR(INDEX(Weights!$B$14:$B$17,MATCH(TEXT(J1073,"0"),Weights!$A$14:$A$17,0)),0)/(1+N(N1073)/50),1))</f>
        <v/>
      </c>
      <c r="Q1073" s="5" t="s">
        <v>42</v>
      </c>
    </row>
    <row r="1074" customFormat="false" ht="15" hidden="false" customHeight="false" outlineLevel="0" collapsed="false">
      <c r="A1074" s="5" t="n">
        <v>1073</v>
      </c>
      <c r="B1074" s="5" t="s">
        <v>1241</v>
      </c>
      <c r="C1074" s="5" t="s">
        <v>35</v>
      </c>
      <c r="D1074" s="5" t="s">
        <v>36</v>
      </c>
      <c r="E1074" s="5" t="s">
        <v>1108</v>
      </c>
      <c r="F1074" s="5" t="s">
        <v>1239</v>
      </c>
      <c r="G1074" s="5" t="s">
        <v>39</v>
      </c>
      <c r="H1074" s="5" t="s">
        <v>40</v>
      </c>
      <c r="I1074" s="5" t="s">
        <v>796</v>
      </c>
      <c r="J1074" s="5" t="n">
        <v>4</v>
      </c>
      <c r="K1074" s="5"/>
      <c r="L1074" s="6"/>
      <c r="M1074" s="6"/>
      <c r="N1074" s="6"/>
      <c r="O1074" s="6"/>
      <c r="P1074" s="5" t="str">
        <f aca="false">IF(M1074="","",ROUND(M1074*IFERROR(INDEX(Weights!$B$2:$B$4,MATCH(G1074,Weights!$A$2:$A$4,0)),0)*IFERROR(INDEX(Weights!$B$7:$B$11,MATCH(E1074,Weights!$A$7:$A$11,0)),0)*IFERROR(INDEX(Weights!$B$14:$B$17,MATCH(TEXT(J1074,"0"),Weights!$A$14:$A$17,0)),0)/(1+N(N1074)/50),1))</f>
        <v/>
      </c>
      <c r="Q1074" s="5" t="s">
        <v>42</v>
      </c>
    </row>
    <row r="1075" customFormat="false" ht="15" hidden="false" customHeight="false" outlineLevel="0" collapsed="false">
      <c r="A1075" s="5" t="n">
        <v>1074</v>
      </c>
      <c r="B1075" s="5" t="s">
        <v>1242</v>
      </c>
      <c r="C1075" s="5" t="s">
        <v>47</v>
      </c>
      <c r="D1075" s="5" t="s">
        <v>36</v>
      </c>
      <c r="E1075" s="5" t="s">
        <v>1108</v>
      </c>
      <c r="F1075" s="5" t="s">
        <v>1239</v>
      </c>
      <c r="G1075" s="5" t="s">
        <v>39</v>
      </c>
      <c r="H1075" s="5" t="s">
        <v>40</v>
      </c>
      <c r="I1075" s="5" t="s">
        <v>796</v>
      </c>
      <c r="J1075" s="5" t="n">
        <v>4</v>
      </c>
      <c r="K1075" s="5"/>
      <c r="L1075" s="6"/>
      <c r="M1075" s="6"/>
      <c r="N1075" s="6"/>
      <c r="O1075" s="6"/>
      <c r="P1075" s="5" t="str">
        <f aca="false">IF(M1075="","",ROUND(M1075*IFERROR(INDEX(Weights!$B$2:$B$4,MATCH(G1075,Weights!$A$2:$A$4,0)),0)*IFERROR(INDEX(Weights!$B$7:$B$11,MATCH(E1075,Weights!$A$7:$A$11,0)),0)*IFERROR(INDEX(Weights!$B$14:$B$17,MATCH(TEXT(J1075,"0"),Weights!$A$14:$A$17,0)),0)/(1+N(N1075)/50),1))</f>
        <v/>
      </c>
      <c r="Q1075" s="5" t="s">
        <v>42</v>
      </c>
    </row>
    <row r="1076" customFormat="false" ht="15" hidden="false" customHeight="false" outlineLevel="0" collapsed="false">
      <c r="A1076" s="5" t="n">
        <v>1075</v>
      </c>
      <c r="B1076" s="5" t="s">
        <v>1243</v>
      </c>
      <c r="C1076" s="5" t="s">
        <v>47</v>
      </c>
      <c r="D1076" s="5" t="s">
        <v>36</v>
      </c>
      <c r="E1076" s="5" t="s">
        <v>1108</v>
      </c>
      <c r="F1076" s="5" t="s">
        <v>1239</v>
      </c>
      <c r="G1076" s="5" t="s">
        <v>39</v>
      </c>
      <c r="H1076" s="5" t="s">
        <v>40</v>
      </c>
      <c r="I1076" s="5" t="s">
        <v>796</v>
      </c>
      <c r="J1076" s="5" t="n">
        <v>4</v>
      </c>
      <c r="K1076" s="5"/>
      <c r="L1076" s="6"/>
      <c r="M1076" s="6"/>
      <c r="N1076" s="6"/>
      <c r="O1076" s="6"/>
      <c r="P1076" s="5" t="str">
        <f aca="false">IF(M1076="","",ROUND(M1076*IFERROR(INDEX(Weights!$B$2:$B$4,MATCH(G1076,Weights!$A$2:$A$4,0)),0)*IFERROR(INDEX(Weights!$B$7:$B$11,MATCH(E1076,Weights!$A$7:$A$11,0)),0)*IFERROR(INDEX(Weights!$B$14:$B$17,MATCH(TEXT(J1076,"0"),Weights!$A$14:$A$17,0)),0)/(1+N(N1076)/50),1))</f>
        <v/>
      </c>
      <c r="Q1076" s="5" t="s">
        <v>42</v>
      </c>
    </row>
    <row r="1077" customFormat="false" ht="15" hidden="false" customHeight="false" outlineLevel="0" collapsed="false">
      <c r="A1077" s="5" t="n">
        <v>1076</v>
      </c>
      <c r="B1077" s="5" t="s">
        <v>1244</v>
      </c>
      <c r="C1077" s="5" t="s">
        <v>47</v>
      </c>
      <c r="D1077" s="5" t="s">
        <v>36</v>
      </c>
      <c r="E1077" s="5" t="s">
        <v>1108</v>
      </c>
      <c r="F1077" s="5" t="s">
        <v>1239</v>
      </c>
      <c r="G1077" s="5" t="s">
        <v>39</v>
      </c>
      <c r="H1077" s="5" t="s">
        <v>40</v>
      </c>
      <c r="I1077" s="5" t="s">
        <v>796</v>
      </c>
      <c r="J1077" s="5" t="n">
        <v>4</v>
      </c>
      <c r="K1077" s="5"/>
      <c r="L1077" s="6"/>
      <c r="M1077" s="6"/>
      <c r="N1077" s="6"/>
      <c r="O1077" s="6"/>
      <c r="P1077" s="5" t="str">
        <f aca="false">IF(M1077="","",ROUND(M1077*IFERROR(INDEX(Weights!$B$2:$B$4,MATCH(G1077,Weights!$A$2:$A$4,0)),0)*IFERROR(INDEX(Weights!$B$7:$B$11,MATCH(E1077,Weights!$A$7:$A$11,0)),0)*IFERROR(INDEX(Weights!$B$14:$B$17,MATCH(TEXT(J1077,"0"),Weights!$A$14:$A$17,0)),0)/(1+N(N1077)/50),1))</f>
        <v/>
      </c>
      <c r="Q1077" s="5" t="s">
        <v>42</v>
      </c>
    </row>
    <row r="1078" customFormat="false" ht="15" hidden="false" customHeight="false" outlineLevel="0" collapsed="false">
      <c r="A1078" s="5" t="n">
        <v>1077</v>
      </c>
      <c r="B1078" s="5" t="s">
        <v>1245</v>
      </c>
      <c r="C1078" s="5" t="s">
        <v>47</v>
      </c>
      <c r="D1078" s="5" t="s">
        <v>36</v>
      </c>
      <c r="E1078" s="5" t="s">
        <v>1108</v>
      </c>
      <c r="F1078" s="5" t="s">
        <v>1239</v>
      </c>
      <c r="G1078" s="5" t="s">
        <v>39</v>
      </c>
      <c r="H1078" s="5" t="s">
        <v>40</v>
      </c>
      <c r="I1078" s="5" t="s">
        <v>796</v>
      </c>
      <c r="J1078" s="5" t="n">
        <v>4</v>
      </c>
      <c r="K1078" s="5"/>
      <c r="L1078" s="6"/>
      <c r="M1078" s="6"/>
      <c r="N1078" s="6"/>
      <c r="O1078" s="6"/>
      <c r="P1078" s="5" t="str">
        <f aca="false">IF(M1078="","",ROUND(M1078*IFERROR(INDEX(Weights!$B$2:$B$4,MATCH(G1078,Weights!$A$2:$A$4,0)),0)*IFERROR(INDEX(Weights!$B$7:$B$11,MATCH(E1078,Weights!$A$7:$A$11,0)),0)*IFERROR(INDEX(Weights!$B$14:$B$17,MATCH(TEXT(J1078,"0"),Weights!$A$14:$A$17,0)),0)/(1+N(N1078)/50),1))</f>
        <v/>
      </c>
      <c r="Q1078" s="5" t="s">
        <v>42</v>
      </c>
    </row>
    <row r="1079" customFormat="false" ht="15" hidden="false" customHeight="false" outlineLevel="0" collapsed="false">
      <c r="A1079" s="5" t="n">
        <v>1078</v>
      </c>
      <c r="B1079" s="5" t="s">
        <v>1246</v>
      </c>
      <c r="C1079" s="5" t="s">
        <v>51</v>
      </c>
      <c r="D1079" s="5" t="s">
        <v>36</v>
      </c>
      <c r="E1079" s="5" t="s">
        <v>1108</v>
      </c>
      <c r="F1079" s="5" t="s">
        <v>1239</v>
      </c>
      <c r="G1079" s="5" t="s">
        <v>39</v>
      </c>
      <c r="H1079" s="5" t="s">
        <v>40</v>
      </c>
      <c r="I1079" s="5" t="s">
        <v>796</v>
      </c>
      <c r="J1079" s="5" t="n">
        <v>4</v>
      </c>
      <c r="K1079" s="5"/>
      <c r="L1079" s="6"/>
      <c r="M1079" s="6"/>
      <c r="N1079" s="6"/>
      <c r="O1079" s="6"/>
      <c r="P1079" s="5" t="str">
        <f aca="false">IF(M1079="","",ROUND(M1079*IFERROR(INDEX(Weights!$B$2:$B$4,MATCH(G1079,Weights!$A$2:$A$4,0)),0)*IFERROR(INDEX(Weights!$B$7:$B$11,MATCH(E1079,Weights!$A$7:$A$11,0)),0)*IFERROR(INDEX(Weights!$B$14:$B$17,MATCH(TEXT(J1079,"0"),Weights!$A$14:$A$17,0)),0)/(1+N(N1079)/50),1))</f>
        <v/>
      </c>
      <c r="Q1079" s="5" t="s">
        <v>42</v>
      </c>
    </row>
    <row r="1080" customFormat="false" ht="15" hidden="false" customHeight="false" outlineLevel="0" collapsed="false">
      <c r="A1080" s="5" t="n">
        <v>1079</v>
      </c>
      <c r="B1080" s="5" t="s">
        <v>1247</v>
      </c>
      <c r="C1080" s="5" t="s">
        <v>51</v>
      </c>
      <c r="D1080" s="5" t="s">
        <v>36</v>
      </c>
      <c r="E1080" s="5" t="s">
        <v>1108</v>
      </c>
      <c r="F1080" s="5" t="s">
        <v>1239</v>
      </c>
      <c r="G1080" s="5" t="s">
        <v>39</v>
      </c>
      <c r="H1080" s="5" t="s">
        <v>40</v>
      </c>
      <c r="I1080" s="5" t="s">
        <v>796</v>
      </c>
      <c r="J1080" s="5" t="n">
        <v>4</v>
      </c>
      <c r="K1080" s="5"/>
      <c r="L1080" s="6"/>
      <c r="M1080" s="6"/>
      <c r="N1080" s="6"/>
      <c r="O1080" s="6"/>
      <c r="P1080" s="5" t="str">
        <f aca="false">IF(M1080="","",ROUND(M1080*IFERROR(INDEX(Weights!$B$2:$B$4,MATCH(G1080,Weights!$A$2:$A$4,0)),0)*IFERROR(INDEX(Weights!$B$7:$B$11,MATCH(E1080,Weights!$A$7:$A$11,0)),0)*IFERROR(INDEX(Weights!$B$14:$B$17,MATCH(TEXT(J1080,"0"),Weights!$A$14:$A$17,0)),0)/(1+N(N1080)/50),1))</f>
        <v/>
      </c>
      <c r="Q1080" s="5" t="s">
        <v>42</v>
      </c>
    </row>
    <row r="1081" customFormat="false" ht="15" hidden="false" customHeight="false" outlineLevel="0" collapsed="false">
      <c r="A1081" s="5" t="n">
        <v>1080</v>
      </c>
      <c r="B1081" s="5" t="s">
        <v>1248</v>
      </c>
      <c r="C1081" s="5" t="s">
        <v>51</v>
      </c>
      <c r="D1081" s="5" t="s">
        <v>36</v>
      </c>
      <c r="E1081" s="5" t="s">
        <v>1108</v>
      </c>
      <c r="F1081" s="5" t="s">
        <v>1239</v>
      </c>
      <c r="G1081" s="5" t="s">
        <v>39</v>
      </c>
      <c r="H1081" s="5" t="s">
        <v>40</v>
      </c>
      <c r="I1081" s="5" t="s">
        <v>796</v>
      </c>
      <c r="J1081" s="5" t="n">
        <v>4</v>
      </c>
      <c r="K1081" s="5"/>
      <c r="L1081" s="6"/>
      <c r="M1081" s="6"/>
      <c r="N1081" s="6"/>
      <c r="O1081" s="6"/>
      <c r="P1081" s="5" t="str">
        <f aca="false">IF(M1081="","",ROUND(M1081*IFERROR(INDEX(Weights!$B$2:$B$4,MATCH(G1081,Weights!$A$2:$A$4,0)),0)*IFERROR(INDEX(Weights!$B$7:$B$11,MATCH(E1081,Weights!$A$7:$A$11,0)),0)*IFERROR(INDEX(Weights!$B$14:$B$17,MATCH(TEXT(J1081,"0"),Weights!$A$14:$A$17,0)),0)/(1+N(N1081)/50),1))</f>
        <v/>
      </c>
      <c r="Q1081" s="5" t="s">
        <v>42</v>
      </c>
    </row>
    <row r="1082" customFormat="false" ht="15" hidden="false" customHeight="false" outlineLevel="0" collapsed="false">
      <c r="A1082" s="5" t="n">
        <v>1081</v>
      </c>
      <c r="B1082" s="5" t="s">
        <v>1249</v>
      </c>
      <c r="C1082" s="5" t="s">
        <v>54</v>
      </c>
      <c r="D1082" s="5" t="s">
        <v>36</v>
      </c>
      <c r="E1082" s="5" t="s">
        <v>1108</v>
      </c>
      <c r="F1082" s="5" t="s">
        <v>1239</v>
      </c>
      <c r="G1082" s="5" t="s">
        <v>39</v>
      </c>
      <c r="H1082" s="5" t="s">
        <v>40</v>
      </c>
      <c r="I1082" s="5" t="s">
        <v>796</v>
      </c>
      <c r="J1082" s="5" t="n">
        <v>4</v>
      </c>
      <c r="K1082" s="5"/>
      <c r="L1082" s="6"/>
      <c r="M1082" s="6"/>
      <c r="N1082" s="6"/>
      <c r="O1082" s="6"/>
      <c r="P1082" s="5" t="str">
        <f aca="false">IF(M1082="","",ROUND(M1082*IFERROR(INDEX(Weights!$B$2:$B$4,MATCH(G1082,Weights!$A$2:$A$4,0)),0)*IFERROR(INDEX(Weights!$B$7:$B$11,MATCH(E1082,Weights!$A$7:$A$11,0)),0)*IFERROR(INDEX(Weights!$B$14:$B$17,MATCH(TEXT(J1082,"0"),Weights!$A$14:$A$17,0)),0)/(1+N(N1082)/50),1))</f>
        <v/>
      </c>
      <c r="Q1082" s="5" t="s">
        <v>42</v>
      </c>
    </row>
    <row r="1083" customFormat="false" ht="15" hidden="false" customHeight="false" outlineLevel="0" collapsed="false">
      <c r="A1083" s="5" t="n">
        <v>1082</v>
      </c>
      <c r="B1083" s="5" t="s">
        <v>1250</v>
      </c>
      <c r="C1083" s="5" t="s">
        <v>54</v>
      </c>
      <c r="D1083" s="5" t="s">
        <v>36</v>
      </c>
      <c r="E1083" s="5" t="s">
        <v>1108</v>
      </c>
      <c r="F1083" s="5" t="s">
        <v>1239</v>
      </c>
      <c r="G1083" s="5" t="s">
        <v>39</v>
      </c>
      <c r="H1083" s="5" t="s">
        <v>40</v>
      </c>
      <c r="I1083" s="5" t="s">
        <v>796</v>
      </c>
      <c r="J1083" s="5" t="n">
        <v>4</v>
      </c>
      <c r="K1083" s="5"/>
      <c r="L1083" s="6"/>
      <c r="M1083" s="6"/>
      <c r="N1083" s="6"/>
      <c r="O1083" s="6"/>
      <c r="P1083" s="5" t="str">
        <f aca="false">IF(M1083="","",ROUND(M1083*IFERROR(INDEX(Weights!$B$2:$B$4,MATCH(G1083,Weights!$A$2:$A$4,0)),0)*IFERROR(INDEX(Weights!$B$7:$B$11,MATCH(E1083,Weights!$A$7:$A$11,0)),0)*IFERROR(INDEX(Weights!$B$14:$B$17,MATCH(TEXT(J1083,"0"),Weights!$A$14:$A$17,0)),0)/(1+N(N1083)/50),1))</f>
        <v/>
      </c>
      <c r="Q1083" s="5" t="s">
        <v>42</v>
      </c>
    </row>
    <row r="1084" customFormat="false" ht="15" hidden="false" customHeight="false" outlineLevel="0" collapsed="false">
      <c r="A1084" s="5" t="n">
        <v>1083</v>
      </c>
      <c r="B1084" s="5" t="s">
        <v>1251</v>
      </c>
      <c r="C1084" s="5" t="s">
        <v>57</v>
      </c>
      <c r="D1084" s="5" t="s">
        <v>36</v>
      </c>
      <c r="E1084" s="5" t="s">
        <v>1108</v>
      </c>
      <c r="F1084" s="5" t="s">
        <v>1239</v>
      </c>
      <c r="G1084" s="5" t="s">
        <v>39</v>
      </c>
      <c r="H1084" s="5" t="s">
        <v>40</v>
      </c>
      <c r="I1084" s="5" t="s">
        <v>796</v>
      </c>
      <c r="J1084" s="5" t="n">
        <v>4</v>
      </c>
      <c r="K1084" s="5"/>
      <c r="L1084" s="6"/>
      <c r="M1084" s="6"/>
      <c r="N1084" s="6"/>
      <c r="O1084" s="6"/>
      <c r="P1084" s="5" t="str">
        <f aca="false">IF(M1084="","",ROUND(M1084*IFERROR(INDEX(Weights!$B$2:$B$4,MATCH(G1084,Weights!$A$2:$A$4,0)),0)*IFERROR(INDEX(Weights!$B$7:$B$11,MATCH(E1084,Weights!$A$7:$A$11,0)),0)*IFERROR(INDEX(Weights!$B$14:$B$17,MATCH(TEXT(J1084,"0"),Weights!$A$14:$A$17,0)),0)/(1+N(N1084)/50),1))</f>
        <v/>
      </c>
      <c r="Q1084" s="5" t="s">
        <v>42</v>
      </c>
    </row>
    <row r="1085" customFormat="false" ht="15" hidden="false" customHeight="false" outlineLevel="0" collapsed="false">
      <c r="A1085" s="5" t="n">
        <v>1084</v>
      </c>
      <c r="B1085" s="5" t="s">
        <v>1252</v>
      </c>
      <c r="C1085" s="5" t="s">
        <v>57</v>
      </c>
      <c r="D1085" s="5" t="s">
        <v>36</v>
      </c>
      <c r="E1085" s="5" t="s">
        <v>1108</v>
      </c>
      <c r="F1085" s="5" t="s">
        <v>1239</v>
      </c>
      <c r="G1085" s="5" t="s">
        <v>39</v>
      </c>
      <c r="H1085" s="5" t="s">
        <v>40</v>
      </c>
      <c r="I1085" s="5" t="s">
        <v>796</v>
      </c>
      <c r="J1085" s="5" t="n">
        <v>4</v>
      </c>
      <c r="K1085" s="5"/>
      <c r="L1085" s="6"/>
      <c r="M1085" s="6"/>
      <c r="N1085" s="6"/>
      <c r="O1085" s="6"/>
      <c r="P1085" s="5" t="str">
        <f aca="false">IF(M1085="","",ROUND(M1085*IFERROR(INDEX(Weights!$B$2:$B$4,MATCH(G1085,Weights!$A$2:$A$4,0)),0)*IFERROR(INDEX(Weights!$B$7:$B$11,MATCH(E1085,Weights!$A$7:$A$11,0)),0)*IFERROR(INDEX(Weights!$B$14:$B$17,MATCH(TEXT(J1085,"0"),Weights!$A$14:$A$17,0)),0)/(1+N(N1085)/50),1))</f>
        <v/>
      </c>
      <c r="Q1085" s="5" t="s">
        <v>42</v>
      </c>
    </row>
    <row r="1086" customFormat="false" ht="15" hidden="false" customHeight="false" outlineLevel="0" collapsed="false">
      <c r="A1086" s="5" t="n">
        <v>1085</v>
      </c>
      <c r="B1086" s="5" t="s">
        <v>1253</v>
      </c>
      <c r="C1086" s="5" t="s">
        <v>57</v>
      </c>
      <c r="D1086" s="5" t="s">
        <v>36</v>
      </c>
      <c r="E1086" s="5" t="s">
        <v>1108</v>
      </c>
      <c r="F1086" s="5" t="s">
        <v>1239</v>
      </c>
      <c r="G1086" s="5" t="s">
        <v>39</v>
      </c>
      <c r="H1086" s="5" t="s">
        <v>40</v>
      </c>
      <c r="I1086" s="5" t="s">
        <v>796</v>
      </c>
      <c r="J1086" s="5" t="n">
        <v>4</v>
      </c>
      <c r="K1086" s="5"/>
      <c r="L1086" s="6"/>
      <c r="M1086" s="6"/>
      <c r="N1086" s="6"/>
      <c r="O1086" s="6"/>
      <c r="P1086" s="5" t="str">
        <f aca="false">IF(M1086="","",ROUND(M1086*IFERROR(INDEX(Weights!$B$2:$B$4,MATCH(G1086,Weights!$A$2:$A$4,0)),0)*IFERROR(INDEX(Weights!$B$7:$B$11,MATCH(E1086,Weights!$A$7:$A$11,0)),0)*IFERROR(INDEX(Weights!$B$14:$B$17,MATCH(TEXT(J1086,"0"),Weights!$A$14:$A$17,0)),0)/(1+N(N1086)/50),1))</f>
        <v/>
      </c>
      <c r="Q1086" s="5" t="s">
        <v>42</v>
      </c>
    </row>
    <row r="1087" customFormat="false" ht="15" hidden="false" customHeight="false" outlineLevel="0" collapsed="false">
      <c r="A1087" s="5" t="n">
        <v>1086</v>
      </c>
      <c r="B1087" s="5" t="s">
        <v>1254</v>
      </c>
      <c r="C1087" s="5" t="s">
        <v>464</v>
      </c>
      <c r="D1087" s="5" t="s">
        <v>36</v>
      </c>
      <c r="E1087" s="5" t="s">
        <v>1108</v>
      </c>
      <c r="F1087" s="5" t="s">
        <v>1239</v>
      </c>
      <c r="G1087" s="5" t="s">
        <v>39</v>
      </c>
      <c r="H1087" s="5" t="s">
        <v>40</v>
      </c>
      <c r="I1087" s="5" t="s">
        <v>796</v>
      </c>
      <c r="J1087" s="5" t="n">
        <v>4</v>
      </c>
      <c r="K1087" s="5"/>
      <c r="L1087" s="6"/>
      <c r="M1087" s="6"/>
      <c r="N1087" s="6"/>
      <c r="O1087" s="6"/>
      <c r="P1087" s="5" t="str">
        <f aca="false">IF(M1087="","",ROUND(M1087*IFERROR(INDEX(Weights!$B$2:$B$4,MATCH(G1087,Weights!$A$2:$A$4,0)),0)*IFERROR(INDEX(Weights!$B$7:$B$11,MATCH(E1087,Weights!$A$7:$A$11,0)),0)*IFERROR(INDEX(Weights!$B$14:$B$17,MATCH(TEXT(J1087,"0"),Weights!$A$14:$A$17,0)),0)/(1+N(N1087)/50),1))</f>
        <v/>
      </c>
      <c r="Q1087" s="5" t="s">
        <v>42</v>
      </c>
    </row>
    <row r="1088" customFormat="false" ht="15" hidden="false" customHeight="false" outlineLevel="0" collapsed="false">
      <c r="A1088" s="5" t="n">
        <v>1087</v>
      </c>
      <c r="B1088" s="5" t="s">
        <v>1255</v>
      </c>
      <c r="C1088" s="5" t="s">
        <v>464</v>
      </c>
      <c r="D1088" s="5" t="s">
        <v>36</v>
      </c>
      <c r="E1088" s="5" t="s">
        <v>1108</v>
      </c>
      <c r="F1088" s="5" t="s">
        <v>1239</v>
      </c>
      <c r="G1088" s="5" t="s">
        <v>39</v>
      </c>
      <c r="H1088" s="5" t="s">
        <v>40</v>
      </c>
      <c r="I1088" s="5" t="s">
        <v>796</v>
      </c>
      <c r="J1088" s="5" t="n">
        <v>4</v>
      </c>
      <c r="K1088" s="5"/>
      <c r="L1088" s="6"/>
      <c r="M1088" s="6"/>
      <c r="N1088" s="6"/>
      <c r="O1088" s="6"/>
      <c r="P1088" s="5" t="str">
        <f aca="false">IF(M1088="","",ROUND(M1088*IFERROR(INDEX(Weights!$B$2:$B$4,MATCH(G1088,Weights!$A$2:$A$4,0)),0)*IFERROR(INDEX(Weights!$B$7:$B$11,MATCH(E1088,Weights!$A$7:$A$11,0)),0)*IFERROR(INDEX(Weights!$B$14:$B$17,MATCH(TEXT(J1088,"0"),Weights!$A$14:$A$17,0)),0)/(1+N(N1088)/50),1))</f>
        <v/>
      </c>
      <c r="Q1088" s="5" t="s">
        <v>42</v>
      </c>
    </row>
    <row r="1089" customFormat="false" ht="15" hidden="false" customHeight="false" outlineLevel="0" collapsed="false">
      <c r="A1089" s="5" t="n">
        <v>1088</v>
      </c>
      <c r="B1089" s="5" t="s">
        <v>1256</v>
      </c>
      <c r="C1089" s="5" t="s">
        <v>464</v>
      </c>
      <c r="D1089" s="5" t="s">
        <v>36</v>
      </c>
      <c r="E1089" s="5" t="s">
        <v>1108</v>
      </c>
      <c r="F1089" s="5" t="s">
        <v>1239</v>
      </c>
      <c r="G1089" s="5" t="s">
        <v>39</v>
      </c>
      <c r="H1089" s="5" t="s">
        <v>40</v>
      </c>
      <c r="I1089" s="5" t="s">
        <v>796</v>
      </c>
      <c r="J1089" s="5" t="n">
        <v>4</v>
      </c>
      <c r="K1089" s="5"/>
      <c r="L1089" s="6"/>
      <c r="M1089" s="6"/>
      <c r="N1089" s="6"/>
      <c r="O1089" s="6"/>
      <c r="P1089" s="5" t="str">
        <f aca="false">IF(M1089="","",ROUND(M1089*IFERROR(INDEX(Weights!$B$2:$B$4,MATCH(G1089,Weights!$A$2:$A$4,0)),0)*IFERROR(INDEX(Weights!$B$7:$B$11,MATCH(E1089,Weights!$A$7:$A$11,0)),0)*IFERROR(INDEX(Weights!$B$14:$B$17,MATCH(TEXT(J1089,"0"),Weights!$A$14:$A$17,0)),0)/(1+N(N1089)/50),1))</f>
        <v/>
      </c>
      <c r="Q1089" s="5" t="s">
        <v>42</v>
      </c>
    </row>
    <row r="1090" customFormat="false" ht="15" hidden="false" customHeight="false" outlineLevel="0" collapsed="false">
      <c r="A1090" s="5" t="n">
        <v>1089</v>
      </c>
      <c r="B1090" s="5" t="s">
        <v>1257</v>
      </c>
      <c r="C1090" s="5" t="s">
        <v>456</v>
      </c>
      <c r="D1090" s="5" t="s">
        <v>36</v>
      </c>
      <c r="E1090" s="5" t="s">
        <v>1108</v>
      </c>
      <c r="F1090" s="5" t="s">
        <v>1239</v>
      </c>
      <c r="G1090" s="5" t="s">
        <v>39</v>
      </c>
      <c r="H1090" s="5" t="s">
        <v>40</v>
      </c>
      <c r="I1090" s="5" t="s">
        <v>796</v>
      </c>
      <c r="J1090" s="5" t="n">
        <v>4</v>
      </c>
      <c r="K1090" s="5"/>
      <c r="L1090" s="6"/>
      <c r="M1090" s="6"/>
      <c r="N1090" s="6"/>
      <c r="O1090" s="6"/>
      <c r="P1090" s="5" t="str">
        <f aca="false">IF(M1090="","",ROUND(M1090*IFERROR(INDEX(Weights!$B$2:$B$4,MATCH(G1090,Weights!$A$2:$A$4,0)),0)*IFERROR(INDEX(Weights!$B$7:$B$11,MATCH(E1090,Weights!$A$7:$A$11,0)),0)*IFERROR(INDEX(Weights!$B$14:$B$17,MATCH(TEXT(J1090,"0"),Weights!$A$14:$A$17,0)),0)/(1+N(N1090)/50),1))</f>
        <v/>
      </c>
      <c r="Q1090" s="5" t="s">
        <v>42</v>
      </c>
    </row>
    <row r="1091" customFormat="false" ht="15" hidden="false" customHeight="false" outlineLevel="0" collapsed="false">
      <c r="A1091" s="5" t="n">
        <v>1090</v>
      </c>
      <c r="B1091" s="5" t="s">
        <v>1258</v>
      </c>
      <c r="C1091" s="5" t="s">
        <v>456</v>
      </c>
      <c r="D1091" s="5" t="s">
        <v>36</v>
      </c>
      <c r="E1091" s="5" t="s">
        <v>1108</v>
      </c>
      <c r="F1091" s="5" t="s">
        <v>1239</v>
      </c>
      <c r="G1091" s="5" t="s">
        <v>39</v>
      </c>
      <c r="H1091" s="5" t="s">
        <v>40</v>
      </c>
      <c r="I1091" s="5" t="s">
        <v>796</v>
      </c>
      <c r="J1091" s="5" t="n">
        <v>4</v>
      </c>
      <c r="K1091" s="5"/>
      <c r="L1091" s="6"/>
      <c r="M1091" s="6"/>
      <c r="N1091" s="6"/>
      <c r="O1091" s="6"/>
      <c r="P1091" s="5" t="str">
        <f aca="false">IF(M1091="","",ROUND(M1091*IFERROR(INDEX(Weights!$B$2:$B$4,MATCH(G1091,Weights!$A$2:$A$4,0)),0)*IFERROR(INDEX(Weights!$B$7:$B$11,MATCH(E1091,Weights!$A$7:$A$11,0)),0)*IFERROR(INDEX(Weights!$B$14:$B$17,MATCH(TEXT(J1091,"0"),Weights!$A$14:$A$17,0)),0)/(1+N(N1091)/50),1))</f>
        <v/>
      </c>
      <c r="Q1091" s="5" t="s">
        <v>42</v>
      </c>
    </row>
    <row r="1092" customFormat="false" ht="15" hidden="false" customHeight="false" outlineLevel="0" collapsed="false">
      <c r="A1092" s="5" t="n">
        <v>1091</v>
      </c>
      <c r="B1092" s="5" t="s">
        <v>1259</v>
      </c>
      <c r="C1092" s="5" t="s">
        <v>64</v>
      </c>
      <c r="D1092" s="5" t="s">
        <v>36</v>
      </c>
      <c r="E1092" s="5" t="s">
        <v>1108</v>
      </c>
      <c r="F1092" s="5" t="s">
        <v>1239</v>
      </c>
      <c r="G1092" s="5" t="s">
        <v>39</v>
      </c>
      <c r="H1092" s="5" t="s">
        <v>40</v>
      </c>
      <c r="I1092" s="5" t="s">
        <v>796</v>
      </c>
      <c r="J1092" s="5" t="n">
        <v>4</v>
      </c>
      <c r="K1092" s="5"/>
      <c r="L1092" s="6"/>
      <c r="M1092" s="6"/>
      <c r="N1092" s="6"/>
      <c r="O1092" s="6"/>
      <c r="P1092" s="5" t="str">
        <f aca="false">IF(M1092="","",ROUND(M1092*IFERROR(INDEX(Weights!$B$2:$B$4,MATCH(G1092,Weights!$A$2:$A$4,0)),0)*IFERROR(INDEX(Weights!$B$7:$B$11,MATCH(E1092,Weights!$A$7:$A$11,0)),0)*IFERROR(INDEX(Weights!$B$14:$B$17,MATCH(TEXT(J1092,"0"),Weights!$A$14:$A$17,0)),0)/(1+N(N1092)/50),1))</f>
        <v/>
      </c>
      <c r="Q1092" s="5" t="s">
        <v>42</v>
      </c>
    </row>
    <row r="1093" customFormat="false" ht="15" hidden="false" customHeight="false" outlineLevel="0" collapsed="false">
      <c r="A1093" s="5" t="n">
        <v>1092</v>
      </c>
      <c r="B1093" s="5" t="s">
        <v>1260</v>
      </c>
      <c r="C1093" s="5" t="s">
        <v>64</v>
      </c>
      <c r="D1093" s="5" t="s">
        <v>36</v>
      </c>
      <c r="E1093" s="5" t="s">
        <v>1108</v>
      </c>
      <c r="F1093" s="5" t="s">
        <v>1239</v>
      </c>
      <c r="G1093" s="5" t="s">
        <v>39</v>
      </c>
      <c r="H1093" s="5" t="s">
        <v>40</v>
      </c>
      <c r="I1093" s="5" t="s">
        <v>796</v>
      </c>
      <c r="J1093" s="5" t="n">
        <v>4</v>
      </c>
      <c r="K1093" s="5"/>
      <c r="L1093" s="6"/>
      <c r="M1093" s="6"/>
      <c r="N1093" s="6"/>
      <c r="O1093" s="6"/>
      <c r="P1093" s="5" t="str">
        <f aca="false">IF(M1093="","",ROUND(M1093*IFERROR(INDEX(Weights!$B$2:$B$4,MATCH(G1093,Weights!$A$2:$A$4,0)),0)*IFERROR(INDEX(Weights!$B$7:$B$11,MATCH(E1093,Weights!$A$7:$A$11,0)),0)*IFERROR(INDEX(Weights!$B$14:$B$17,MATCH(TEXT(J1093,"0"),Weights!$A$14:$A$17,0)),0)/(1+N(N1093)/50),1))</f>
        <v/>
      </c>
      <c r="Q1093" s="5" t="s">
        <v>42</v>
      </c>
    </row>
    <row r="1094" customFormat="false" ht="15" hidden="false" customHeight="false" outlineLevel="0" collapsed="false">
      <c r="A1094" s="5" t="n">
        <v>1093</v>
      </c>
      <c r="B1094" s="5" t="s">
        <v>1261</v>
      </c>
      <c r="C1094" s="5" t="s">
        <v>61</v>
      </c>
      <c r="D1094" s="5" t="s">
        <v>36</v>
      </c>
      <c r="E1094" s="5" t="s">
        <v>1108</v>
      </c>
      <c r="F1094" s="5" t="s">
        <v>1239</v>
      </c>
      <c r="G1094" s="5" t="s">
        <v>39</v>
      </c>
      <c r="H1094" s="5" t="s">
        <v>40</v>
      </c>
      <c r="I1094" s="5" t="s">
        <v>796</v>
      </c>
      <c r="J1094" s="5" t="n">
        <v>4</v>
      </c>
      <c r="K1094" s="5"/>
      <c r="L1094" s="6"/>
      <c r="M1094" s="6"/>
      <c r="N1094" s="6"/>
      <c r="O1094" s="6"/>
      <c r="P1094" s="5" t="str">
        <f aca="false">IF(M1094="","",ROUND(M1094*IFERROR(INDEX(Weights!$B$2:$B$4,MATCH(G1094,Weights!$A$2:$A$4,0)),0)*IFERROR(INDEX(Weights!$B$7:$B$11,MATCH(E1094,Weights!$A$7:$A$11,0)),0)*IFERROR(INDEX(Weights!$B$14:$B$17,MATCH(TEXT(J1094,"0"),Weights!$A$14:$A$17,0)),0)/(1+N(N1094)/50),1))</f>
        <v/>
      </c>
      <c r="Q1094" s="5" t="s">
        <v>42</v>
      </c>
    </row>
    <row r="1095" customFormat="false" ht="15" hidden="false" customHeight="false" outlineLevel="0" collapsed="false">
      <c r="A1095" s="5" t="n">
        <v>1094</v>
      </c>
      <c r="B1095" s="5" t="s">
        <v>1262</v>
      </c>
      <c r="C1095" s="5" t="s">
        <v>66</v>
      </c>
      <c r="D1095" s="5" t="s">
        <v>36</v>
      </c>
      <c r="E1095" s="5" t="s">
        <v>1108</v>
      </c>
      <c r="F1095" s="5" t="s">
        <v>1239</v>
      </c>
      <c r="G1095" s="5" t="s">
        <v>39</v>
      </c>
      <c r="H1095" s="5" t="s">
        <v>40</v>
      </c>
      <c r="I1095" s="5" t="s">
        <v>796</v>
      </c>
      <c r="J1095" s="5" t="n">
        <v>4</v>
      </c>
      <c r="K1095" s="5"/>
      <c r="L1095" s="6"/>
      <c r="M1095" s="6"/>
      <c r="N1095" s="6"/>
      <c r="O1095" s="6"/>
      <c r="P1095" s="5" t="str">
        <f aca="false">IF(M1095="","",ROUND(M1095*IFERROR(INDEX(Weights!$B$2:$B$4,MATCH(G1095,Weights!$A$2:$A$4,0)),0)*IFERROR(INDEX(Weights!$B$7:$B$11,MATCH(E1095,Weights!$A$7:$A$11,0)),0)*IFERROR(INDEX(Weights!$B$14:$B$17,MATCH(TEXT(J1095,"0"),Weights!$A$14:$A$17,0)),0)/(1+N(N1095)/50),1))</f>
        <v/>
      </c>
      <c r="Q1095" s="5" t="s">
        <v>42</v>
      </c>
    </row>
    <row r="1096" customFormat="false" ht="15" hidden="false" customHeight="false" outlineLevel="0" collapsed="false">
      <c r="A1096" s="5" t="n">
        <v>1095</v>
      </c>
      <c r="B1096" s="5" t="s">
        <v>1263</v>
      </c>
      <c r="C1096" s="5" t="s">
        <v>69</v>
      </c>
      <c r="D1096" s="5" t="s">
        <v>36</v>
      </c>
      <c r="E1096" s="5" t="s">
        <v>1108</v>
      </c>
      <c r="F1096" s="5" t="s">
        <v>1239</v>
      </c>
      <c r="G1096" s="5" t="s">
        <v>39</v>
      </c>
      <c r="H1096" s="5" t="s">
        <v>40</v>
      </c>
      <c r="I1096" s="5" t="s">
        <v>796</v>
      </c>
      <c r="J1096" s="5" t="n">
        <v>4</v>
      </c>
      <c r="K1096" s="5"/>
      <c r="L1096" s="6"/>
      <c r="M1096" s="6"/>
      <c r="N1096" s="6"/>
      <c r="O1096" s="6"/>
      <c r="P1096" s="5" t="str">
        <f aca="false">IF(M1096="","",ROUND(M1096*IFERROR(INDEX(Weights!$B$2:$B$4,MATCH(G1096,Weights!$A$2:$A$4,0)),0)*IFERROR(INDEX(Weights!$B$7:$B$11,MATCH(E1096,Weights!$A$7:$A$11,0)),0)*IFERROR(INDEX(Weights!$B$14:$B$17,MATCH(TEXT(J1096,"0"),Weights!$A$14:$A$17,0)),0)/(1+N(N1096)/50),1))</f>
        <v/>
      </c>
      <c r="Q1096" s="5" t="s">
        <v>42</v>
      </c>
    </row>
    <row r="1097" customFormat="false" ht="15" hidden="false" customHeight="false" outlineLevel="0" collapsed="false">
      <c r="A1097" s="5" t="n">
        <v>1096</v>
      </c>
      <c r="B1097" s="5" t="s">
        <v>1264</v>
      </c>
      <c r="C1097" s="5" t="s">
        <v>35</v>
      </c>
      <c r="D1097" s="5" t="s">
        <v>36</v>
      </c>
      <c r="E1097" s="5" t="s">
        <v>1108</v>
      </c>
      <c r="F1097" s="5" t="s">
        <v>1265</v>
      </c>
      <c r="G1097" s="5" t="s">
        <v>39</v>
      </c>
      <c r="H1097" s="5" t="s">
        <v>40</v>
      </c>
      <c r="I1097" s="5" t="s">
        <v>796</v>
      </c>
      <c r="J1097" s="5" t="n">
        <v>4</v>
      </c>
      <c r="K1097" s="5"/>
      <c r="L1097" s="6"/>
      <c r="M1097" s="6"/>
      <c r="N1097" s="6"/>
      <c r="O1097" s="6"/>
      <c r="P1097" s="5" t="str">
        <f aca="false">IF(M1097="","",ROUND(M1097*IFERROR(INDEX(Weights!$B$2:$B$4,MATCH(G1097,Weights!$A$2:$A$4,0)),0)*IFERROR(INDEX(Weights!$B$7:$B$11,MATCH(E1097,Weights!$A$7:$A$11,0)),0)*IFERROR(INDEX(Weights!$B$14:$B$17,MATCH(TEXT(J1097,"0"),Weights!$A$14:$A$17,0)),0)/(1+N(N1097)/50),1))</f>
        <v/>
      </c>
      <c r="Q1097" s="5" t="s">
        <v>42</v>
      </c>
    </row>
    <row r="1098" customFormat="false" ht="15" hidden="false" customHeight="false" outlineLevel="0" collapsed="false">
      <c r="A1098" s="5" t="n">
        <v>1097</v>
      </c>
      <c r="B1098" s="5" t="s">
        <v>1266</v>
      </c>
      <c r="C1098" s="5" t="s">
        <v>35</v>
      </c>
      <c r="D1098" s="5" t="s">
        <v>36</v>
      </c>
      <c r="E1098" s="5" t="s">
        <v>1108</v>
      </c>
      <c r="F1098" s="5" t="s">
        <v>1265</v>
      </c>
      <c r="G1098" s="5" t="s">
        <v>39</v>
      </c>
      <c r="H1098" s="5" t="s">
        <v>40</v>
      </c>
      <c r="I1098" s="5" t="s">
        <v>796</v>
      </c>
      <c r="J1098" s="5" t="n">
        <v>4</v>
      </c>
      <c r="K1098" s="5"/>
      <c r="L1098" s="6"/>
      <c r="M1098" s="6"/>
      <c r="N1098" s="6"/>
      <c r="O1098" s="6"/>
      <c r="P1098" s="5" t="str">
        <f aca="false">IF(M1098="","",ROUND(M1098*IFERROR(INDEX(Weights!$B$2:$B$4,MATCH(G1098,Weights!$A$2:$A$4,0)),0)*IFERROR(INDEX(Weights!$B$7:$B$11,MATCH(E1098,Weights!$A$7:$A$11,0)),0)*IFERROR(INDEX(Weights!$B$14:$B$17,MATCH(TEXT(J1098,"0"),Weights!$A$14:$A$17,0)),0)/(1+N(N1098)/50),1))</f>
        <v/>
      </c>
      <c r="Q1098" s="5" t="s">
        <v>42</v>
      </c>
    </row>
    <row r="1099" customFormat="false" ht="15" hidden="false" customHeight="false" outlineLevel="0" collapsed="false">
      <c r="A1099" s="5" t="n">
        <v>1098</v>
      </c>
      <c r="B1099" s="5" t="s">
        <v>1267</v>
      </c>
      <c r="C1099" s="5" t="s">
        <v>35</v>
      </c>
      <c r="D1099" s="5" t="s">
        <v>36</v>
      </c>
      <c r="E1099" s="5" t="s">
        <v>1108</v>
      </c>
      <c r="F1099" s="5" t="s">
        <v>1265</v>
      </c>
      <c r="G1099" s="5" t="s">
        <v>39</v>
      </c>
      <c r="H1099" s="5" t="s">
        <v>40</v>
      </c>
      <c r="I1099" s="5" t="s">
        <v>796</v>
      </c>
      <c r="J1099" s="5" t="n">
        <v>4</v>
      </c>
      <c r="K1099" s="5"/>
      <c r="L1099" s="6"/>
      <c r="M1099" s="6"/>
      <c r="N1099" s="6"/>
      <c r="O1099" s="6"/>
      <c r="P1099" s="5" t="str">
        <f aca="false">IF(M1099="","",ROUND(M1099*IFERROR(INDEX(Weights!$B$2:$B$4,MATCH(G1099,Weights!$A$2:$A$4,0)),0)*IFERROR(INDEX(Weights!$B$7:$B$11,MATCH(E1099,Weights!$A$7:$A$11,0)),0)*IFERROR(INDEX(Weights!$B$14:$B$17,MATCH(TEXT(J1099,"0"),Weights!$A$14:$A$17,0)),0)/(1+N(N1099)/50),1))</f>
        <v/>
      </c>
      <c r="Q1099" s="5" t="s">
        <v>42</v>
      </c>
    </row>
    <row r="1100" customFormat="false" ht="15" hidden="false" customHeight="false" outlineLevel="0" collapsed="false">
      <c r="A1100" s="5" t="n">
        <v>1099</v>
      </c>
      <c r="B1100" s="5" t="s">
        <v>1268</v>
      </c>
      <c r="C1100" s="5" t="s">
        <v>47</v>
      </c>
      <c r="D1100" s="5" t="s">
        <v>36</v>
      </c>
      <c r="E1100" s="5" t="s">
        <v>1108</v>
      </c>
      <c r="F1100" s="5" t="s">
        <v>1265</v>
      </c>
      <c r="G1100" s="5" t="s">
        <v>39</v>
      </c>
      <c r="H1100" s="5" t="s">
        <v>40</v>
      </c>
      <c r="I1100" s="5" t="s">
        <v>796</v>
      </c>
      <c r="J1100" s="5" t="n">
        <v>4</v>
      </c>
      <c r="K1100" s="5"/>
      <c r="L1100" s="6"/>
      <c r="M1100" s="6"/>
      <c r="N1100" s="6"/>
      <c r="O1100" s="6"/>
      <c r="P1100" s="5" t="str">
        <f aca="false">IF(M1100="","",ROUND(M1100*IFERROR(INDEX(Weights!$B$2:$B$4,MATCH(G1100,Weights!$A$2:$A$4,0)),0)*IFERROR(INDEX(Weights!$B$7:$B$11,MATCH(E1100,Weights!$A$7:$A$11,0)),0)*IFERROR(INDEX(Weights!$B$14:$B$17,MATCH(TEXT(J1100,"0"),Weights!$A$14:$A$17,0)),0)/(1+N(N1100)/50),1))</f>
        <v/>
      </c>
      <c r="Q1100" s="5" t="s">
        <v>42</v>
      </c>
    </row>
    <row r="1101" customFormat="false" ht="15" hidden="false" customHeight="false" outlineLevel="0" collapsed="false">
      <c r="A1101" s="5" t="n">
        <v>1100</v>
      </c>
      <c r="B1101" s="5" t="s">
        <v>1269</v>
      </c>
      <c r="C1101" s="5" t="s">
        <v>47</v>
      </c>
      <c r="D1101" s="5" t="s">
        <v>36</v>
      </c>
      <c r="E1101" s="5" t="s">
        <v>1108</v>
      </c>
      <c r="F1101" s="5" t="s">
        <v>1265</v>
      </c>
      <c r="G1101" s="5" t="s">
        <v>39</v>
      </c>
      <c r="H1101" s="5" t="s">
        <v>40</v>
      </c>
      <c r="I1101" s="5" t="s">
        <v>796</v>
      </c>
      <c r="J1101" s="5" t="n">
        <v>4</v>
      </c>
      <c r="K1101" s="5"/>
      <c r="L1101" s="6"/>
      <c r="M1101" s="6"/>
      <c r="N1101" s="6"/>
      <c r="O1101" s="6"/>
      <c r="P1101" s="5" t="str">
        <f aca="false">IF(M1101="","",ROUND(M1101*IFERROR(INDEX(Weights!$B$2:$B$4,MATCH(G1101,Weights!$A$2:$A$4,0)),0)*IFERROR(INDEX(Weights!$B$7:$B$11,MATCH(E1101,Weights!$A$7:$A$11,0)),0)*IFERROR(INDEX(Weights!$B$14:$B$17,MATCH(TEXT(J1101,"0"),Weights!$A$14:$A$17,0)),0)/(1+N(N1101)/50),1))</f>
        <v/>
      </c>
      <c r="Q1101" s="5" t="s">
        <v>42</v>
      </c>
    </row>
    <row r="1102" customFormat="false" ht="15" hidden="false" customHeight="false" outlineLevel="0" collapsed="false">
      <c r="A1102" s="5" t="n">
        <v>1101</v>
      </c>
      <c r="B1102" s="5" t="s">
        <v>1270</v>
      </c>
      <c r="C1102" s="5" t="s">
        <v>47</v>
      </c>
      <c r="D1102" s="5" t="s">
        <v>36</v>
      </c>
      <c r="E1102" s="5" t="s">
        <v>1108</v>
      </c>
      <c r="F1102" s="5" t="s">
        <v>1265</v>
      </c>
      <c r="G1102" s="5" t="s">
        <v>39</v>
      </c>
      <c r="H1102" s="5" t="s">
        <v>40</v>
      </c>
      <c r="I1102" s="5" t="s">
        <v>796</v>
      </c>
      <c r="J1102" s="5" t="n">
        <v>4</v>
      </c>
      <c r="K1102" s="5"/>
      <c r="L1102" s="6"/>
      <c r="M1102" s="6"/>
      <c r="N1102" s="6"/>
      <c r="O1102" s="6"/>
      <c r="P1102" s="5" t="str">
        <f aca="false">IF(M1102="","",ROUND(M1102*IFERROR(INDEX(Weights!$B$2:$B$4,MATCH(G1102,Weights!$A$2:$A$4,0)),0)*IFERROR(INDEX(Weights!$B$7:$B$11,MATCH(E1102,Weights!$A$7:$A$11,0)),0)*IFERROR(INDEX(Weights!$B$14:$B$17,MATCH(TEXT(J1102,"0"),Weights!$A$14:$A$17,0)),0)/(1+N(N1102)/50),1))</f>
        <v/>
      </c>
      <c r="Q1102" s="5" t="s">
        <v>42</v>
      </c>
    </row>
    <row r="1103" customFormat="false" ht="15" hidden="false" customHeight="false" outlineLevel="0" collapsed="false">
      <c r="A1103" s="5" t="n">
        <v>1102</v>
      </c>
      <c r="B1103" s="5" t="s">
        <v>1271</v>
      </c>
      <c r="C1103" s="5" t="s">
        <v>47</v>
      </c>
      <c r="D1103" s="5" t="s">
        <v>36</v>
      </c>
      <c r="E1103" s="5" t="s">
        <v>1108</v>
      </c>
      <c r="F1103" s="5" t="s">
        <v>1265</v>
      </c>
      <c r="G1103" s="5" t="s">
        <v>39</v>
      </c>
      <c r="H1103" s="5" t="s">
        <v>40</v>
      </c>
      <c r="I1103" s="5" t="s">
        <v>796</v>
      </c>
      <c r="J1103" s="5" t="n">
        <v>4</v>
      </c>
      <c r="K1103" s="5"/>
      <c r="L1103" s="6"/>
      <c r="M1103" s="6"/>
      <c r="N1103" s="6"/>
      <c r="O1103" s="6"/>
      <c r="P1103" s="5" t="str">
        <f aca="false">IF(M1103="","",ROUND(M1103*IFERROR(INDEX(Weights!$B$2:$B$4,MATCH(G1103,Weights!$A$2:$A$4,0)),0)*IFERROR(INDEX(Weights!$B$7:$B$11,MATCH(E1103,Weights!$A$7:$A$11,0)),0)*IFERROR(INDEX(Weights!$B$14:$B$17,MATCH(TEXT(J1103,"0"),Weights!$A$14:$A$17,0)),0)/(1+N(N1103)/50),1))</f>
        <v/>
      </c>
      <c r="Q1103" s="5" t="s">
        <v>42</v>
      </c>
    </row>
    <row r="1104" customFormat="false" ht="15" hidden="false" customHeight="false" outlineLevel="0" collapsed="false">
      <c r="A1104" s="5" t="n">
        <v>1103</v>
      </c>
      <c r="B1104" s="5" t="s">
        <v>1272</v>
      </c>
      <c r="C1104" s="5" t="s">
        <v>51</v>
      </c>
      <c r="D1104" s="5" t="s">
        <v>36</v>
      </c>
      <c r="E1104" s="5" t="s">
        <v>1108</v>
      </c>
      <c r="F1104" s="5" t="s">
        <v>1265</v>
      </c>
      <c r="G1104" s="5" t="s">
        <v>39</v>
      </c>
      <c r="H1104" s="5" t="s">
        <v>40</v>
      </c>
      <c r="I1104" s="5" t="s">
        <v>796</v>
      </c>
      <c r="J1104" s="5" t="n">
        <v>4</v>
      </c>
      <c r="K1104" s="5"/>
      <c r="L1104" s="6"/>
      <c r="M1104" s="6"/>
      <c r="N1104" s="6"/>
      <c r="O1104" s="6"/>
      <c r="P1104" s="5" t="str">
        <f aca="false">IF(M1104="","",ROUND(M1104*IFERROR(INDEX(Weights!$B$2:$B$4,MATCH(G1104,Weights!$A$2:$A$4,0)),0)*IFERROR(INDEX(Weights!$B$7:$B$11,MATCH(E1104,Weights!$A$7:$A$11,0)),0)*IFERROR(INDEX(Weights!$B$14:$B$17,MATCH(TEXT(J1104,"0"),Weights!$A$14:$A$17,0)),0)/(1+N(N1104)/50),1))</f>
        <v/>
      </c>
      <c r="Q1104" s="5" t="s">
        <v>42</v>
      </c>
    </row>
    <row r="1105" customFormat="false" ht="15" hidden="false" customHeight="false" outlineLevel="0" collapsed="false">
      <c r="A1105" s="5" t="n">
        <v>1104</v>
      </c>
      <c r="B1105" s="5" t="s">
        <v>1273</v>
      </c>
      <c r="C1105" s="5" t="s">
        <v>51</v>
      </c>
      <c r="D1105" s="5" t="s">
        <v>36</v>
      </c>
      <c r="E1105" s="5" t="s">
        <v>1108</v>
      </c>
      <c r="F1105" s="5" t="s">
        <v>1265</v>
      </c>
      <c r="G1105" s="5" t="s">
        <v>39</v>
      </c>
      <c r="H1105" s="5" t="s">
        <v>40</v>
      </c>
      <c r="I1105" s="5" t="s">
        <v>796</v>
      </c>
      <c r="J1105" s="5" t="n">
        <v>4</v>
      </c>
      <c r="K1105" s="5"/>
      <c r="L1105" s="6"/>
      <c r="M1105" s="6"/>
      <c r="N1105" s="6"/>
      <c r="O1105" s="6"/>
      <c r="P1105" s="5" t="str">
        <f aca="false">IF(M1105="","",ROUND(M1105*IFERROR(INDEX(Weights!$B$2:$B$4,MATCH(G1105,Weights!$A$2:$A$4,0)),0)*IFERROR(INDEX(Weights!$B$7:$B$11,MATCH(E1105,Weights!$A$7:$A$11,0)),0)*IFERROR(INDEX(Weights!$B$14:$B$17,MATCH(TEXT(J1105,"0"),Weights!$A$14:$A$17,0)),0)/(1+N(N1105)/50),1))</f>
        <v/>
      </c>
      <c r="Q1105" s="5" t="s">
        <v>42</v>
      </c>
    </row>
    <row r="1106" customFormat="false" ht="15" hidden="false" customHeight="false" outlineLevel="0" collapsed="false">
      <c r="A1106" s="5" t="n">
        <v>1105</v>
      </c>
      <c r="B1106" s="5" t="s">
        <v>1274</v>
      </c>
      <c r="C1106" s="5" t="s">
        <v>51</v>
      </c>
      <c r="D1106" s="5" t="s">
        <v>36</v>
      </c>
      <c r="E1106" s="5" t="s">
        <v>1108</v>
      </c>
      <c r="F1106" s="5" t="s">
        <v>1265</v>
      </c>
      <c r="G1106" s="5" t="s">
        <v>39</v>
      </c>
      <c r="H1106" s="5" t="s">
        <v>40</v>
      </c>
      <c r="I1106" s="5" t="s">
        <v>796</v>
      </c>
      <c r="J1106" s="5" t="n">
        <v>4</v>
      </c>
      <c r="K1106" s="5"/>
      <c r="L1106" s="6"/>
      <c r="M1106" s="6"/>
      <c r="N1106" s="6"/>
      <c r="O1106" s="6"/>
      <c r="P1106" s="5" t="str">
        <f aca="false">IF(M1106="","",ROUND(M1106*IFERROR(INDEX(Weights!$B$2:$B$4,MATCH(G1106,Weights!$A$2:$A$4,0)),0)*IFERROR(INDEX(Weights!$B$7:$B$11,MATCH(E1106,Weights!$A$7:$A$11,0)),0)*IFERROR(INDEX(Weights!$B$14:$B$17,MATCH(TEXT(J1106,"0"),Weights!$A$14:$A$17,0)),0)/(1+N(N1106)/50),1))</f>
        <v/>
      </c>
      <c r="Q1106" s="5" t="s">
        <v>42</v>
      </c>
    </row>
    <row r="1107" customFormat="false" ht="15" hidden="false" customHeight="false" outlineLevel="0" collapsed="false">
      <c r="A1107" s="5" t="n">
        <v>1106</v>
      </c>
      <c r="B1107" s="5" t="s">
        <v>1275</v>
      </c>
      <c r="C1107" s="5" t="s">
        <v>54</v>
      </c>
      <c r="D1107" s="5" t="s">
        <v>36</v>
      </c>
      <c r="E1107" s="5" t="s">
        <v>1108</v>
      </c>
      <c r="F1107" s="5" t="s">
        <v>1265</v>
      </c>
      <c r="G1107" s="5" t="s">
        <v>39</v>
      </c>
      <c r="H1107" s="5" t="s">
        <v>40</v>
      </c>
      <c r="I1107" s="5" t="s">
        <v>796</v>
      </c>
      <c r="J1107" s="5" t="n">
        <v>4</v>
      </c>
      <c r="K1107" s="5"/>
      <c r="L1107" s="6"/>
      <c r="M1107" s="6"/>
      <c r="N1107" s="6"/>
      <c r="O1107" s="6"/>
      <c r="P1107" s="5" t="str">
        <f aca="false">IF(M1107="","",ROUND(M1107*IFERROR(INDEX(Weights!$B$2:$B$4,MATCH(G1107,Weights!$A$2:$A$4,0)),0)*IFERROR(INDEX(Weights!$B$7:$B$11,MATCH(E1107,Weights!$A$7:$A$11,0)),0)*IFERROR(INDEX(Weights!$B$14:$B$17,MATCH(TEXT(J1107,"0"),Weights!$A$14:$A$17,0)),0)/(1+N(N1107)/50),1))</f>
        <v/>
      </c>
      <c r="Q1107" s="5" t="s">
        <v>42</v>
      </c>
    </row>
    <row r="1108" customFormat="false" ht="15" hidden="false" customHeight="false" outlineLevel="0" collapsed="false">
      <c r="A1108" s="5" t="n">
        <v>1107</v>
      </c>
      <c r="B1108" s="5" t="s">
        <v>1276</v>
      </c>
      <c r="C1108" s="5" t="s">
        <v>54</v>
      </c>
      <c r="D1108" s="5" t="s">
        <v>36</v>
      </c>
      <c r="E1108" s="5" t="s">
        <v>1108</v>
      </c>
      <c r="F1108" s="5" t="s">
        <v>1265</v>
      </c>
      <c r="G1108" s="5" t="s">
        <v>39</v>
      </c>
      <c r="H1108" s="5" t="s">
        <v>40</v>
      </c>
      <c r="I1108" s="5" t="s">
        <v>796</v>
      </c>
      <c r="J1108" s="5" t="n">
        <v>4</v>
      </c>
      <c r="K1108" s="5"/>
      <c r="L1108" s="6"/>
      <c r="M1108" s="6"/>
      <c r="N1108" s="6"/>
      <c r="O1108" s="6"/>
      <c r="P1108" s="5" t="str">
        <f aca="false">IF(M1108="","",ROUND(M1108*IFERROR(INDEX(Weights!$B$2:$B$4,MATCH(G1108,Weights!$A$2:$A$4,0)),0)*IFERROR(INDEX(Weights!$B$7:$B$11,MATCH(E1108,Weights!$A$7:$A$11,0)),0)*IFERROR(INDEX(Weights!$B$14:$B$17,MATCH(TEXT(J1108,"0"),Weights!$A$14:$A$17,0)),0)/(1+N(N1108)/50),1))</f>
        <v/>
      </c>
      <c r="Q1108" s="5" t="s">
        <v>42</v>
      </c>
    </row>
    <row r="1109" customFormat="false" ht="15" hidden="false" customHeight="false" outlineLevel="0" collapsed="false">
      <c r="A1109" s="5" t="n">
        <v>1108</v>
      </c>
      <c r="B1109" s="5" t="s">
        <v>1277</v>
      </c>
      <c r="C1109" s="5" t="s">
        <v>57</v>
      </c>
      <c r="D1109" s="5" t="s">
        <v>36</v>
      </c>
      <c r="E1109" s="5" t="s">
        <v>1108</v>
      </c>
      <c r="F1109" s="5" t="s">
        <v>1265</v>
      </c>
      <c r="G1109" s="5" t="s">
        <v>39</v>
      </c>
      <c r="H1109" s="5" t="s">
        <v>40</v>
      </c>
      <c r="I1109" s="5" t="s">
        <v>796</v>
      </c>
      <c r="J1109" s="5" t="n">
        <v>4</v>
      </c>
      <c r="K1109" s="5"/>
      <c r="L1109" s="6"/>
      <c r="M1109" s="6"/>
      <c r="N1109" s="6"/>
      <c r="O1109" s="6"/>
      <c r="P1109" s="5" t="str">
        <f aca="false">IF(M1109="","",ROUND(M1109*IFERROR(INDEX(Weights!$B$2:$B$4,MATCH(G1109,Weights!$A$2:$A$4,0)),0)*IFERROR(INDEX(Weights!$B$7:$B$11,MATCH(E1109,Weights!$A$7:$A$11,0)),0)*IFERROR(INDEX(Weights!$B$14:$B$17,MATCH(TEXT(J1109,"0"),Weights!$A$14:$A$17,0)),0)/(1+N(N1109)/50),1))</f>
        <v/>
      </c>
      <c r="Q1109" s="5" t="s">
        <v>42</v>
      </c>
    </row>
    <row r="1110" customFormat="false" ht="15" hidden="false" customHeight="false" outlineLevel="0" collapsed="false">
      <c r="A1110" s="5" t="n">
        <v>1109</v>
      </c>
      <c r="B1110" s="5" t="s">
        <v>1278</v>
      </c>
      <c r="C1110" s="5" t="s">
        <v>57</v>
      </c>
      <c r="D1110" s="5" t="s">
        <v>36</v>
      </c>
      <c r="E1110" s="5" t="s">
        <v>1108</v>
      </c>
      <c r="F1110" s="5" t="s">
        <v>1265</v>
      </c>
      <c r="G1110" s="5" t="s">
        <v>39</v>
      </c>
      <c r="H1110" s="5" t="s">
        <v>40</v>
      </c>
      <c r="I1110" s="5" t="s">
        <v>796</v>
      </c>
      <c r="J1110" s="5" t="n">
        <v>4</v>
      </c>
      <c r="K1110" s="5"/>
      <c r="L1110" s="6"/>
      <c r="M1110" s="6"/>
      <c r="N1110" s="6"/>
      <c r="O1110" s="6"/>
      <c r="P1110" s="5" t="str">
        <f aca="false">IF(M1110="","",ROUND(M1110*IFERROR(INDEX(Weights!$B$2:$B$4,MATCH(G1110,Weights!$A$2:$A$4,0)),0)*IFERROR(INDEX(Weights!$B$7:$B$11,MATCH(E1110,Weights!$A$7:$A$11,0)),0)*IFERROR(INDEX(Weights!$B$14:$B$17,MATCH(TEXT(J1110,"0"),Weights!$A$14:$A$17,0)),0)/(1+N(N1110)/50),1))</f>
        <v/>
      </c>
      <c r="Q1110" s="5" t="s">
        <v>42</v>
      </c>
    </row>
    <row r="1111" customFormat="false" ht="15" hidden="false" customHeight="false" outlineLevel="0" collapsed="false">
      <c r="A1111" s="5" t="n">
        <v>1110</v>
      </c>
      <c r="B1111" s="5" t="s">
        <v>1279</v>
      </c>
      <c r="C1111" s="5" t="s">
        <v>57</v>
      </c>
      <c r="D1111" s="5" t="s">
        <v>36</v>
      </c>
      <c r="E1111" s="5" t="s">
        <v>1108</v>
      </c>
      <c r="F1111" s="5" t="s">
        <v>1265</v>
      </c>
      <c r="G1111" s="5" t="s">
        <v>39</v>
      </c>
      <c r="H1111" s="5" t="s">
        <v>40</v>
      </c>
      <c r="I1111" s="5" t="s">
        <v>796</v>
      </c>
      <c r="J1111" s="5" t="n">
        <v>4</v>
      </c>
      <c r="K1111" s="5"/>
      <c r="L1111" s="6"/>
      <c r="M1111" s="6"/>
      <c r="N1111" s="6"/>
      <c r="O1111" s="6"/>
      <c r="P1111" s="5" t="str">
        <f aca="false">IF(M1111="","",ROUND(M1111*IFERROR(INDEX(Weights!$B$2:$B$4,MATCH(G1111,Weights!$A$2:$A$4,0)),0)*IFERROR(INDEX(Weights!$B$7:$B$11,MATCH(E1111,Weights!$A$7:$A$11,0)),0)*IFERROR(INDEX(Weights!$B$14:$B$17,MATCH(TEXT(J1111,"0"),Weights!$A$14:$A$17,0)),0)/(1+N(N1111)/50),1))</f>
        <v/>
      </c>
      <c r="Q1111" s="5" t="s">
        <v>42</v>
      </c>
    </row>
    <row r="1112" customFormat="false" ht="15" hidden="false" customHeight="false" outlineLevel="0" collapsed="false">
      <c r="A1112" s="5" t="n">
        <v>1111</v>
      </c>
      <c r="B1112" s="5" t="s">
        <v>1280</v>
      </c>
      <c r="C1112" s="5" t="s">
        <v>464</v>
      </c>
      <c r="D1112" s="5" t="s">
        <v>36</v>
      </c>
      <c r="E1112" s="5" t="s">
        <v>1108</v>
      </c>
      <c r="F1112" s="5" t="s">
        <v>1265</v>
      </c>
      <c r="G1112" s="5" t="s">
        <v>39</v>
      </c>
      <c r="H1112" s="5" t="s">
        <v>40</v>
      </c>
      <c r="I1112" s="5" t="s">
        <v>796</v>
      </c>
      <c r="J1112" s="5" t="n">
        <v>4</v>
      </c>
      <c r="K1112" s="5"/>
      <c r="L1112" s="6"/>
      <c r="M1112" s="6"/>
      <c r="N1112" s="6"/>
      <c r="O1112" s="6"/>
      <c r="P1112" s="5" t="str">
        <f aca="false">IF(M1112="","",ROUND(M1112*IFERROR(INDEX(Weights!$B$2:$B$4,MATCH(G1112,Weights!$A$2:$A$4,0)),0)*IFERROR(INDEX(Weights!$B$7:$B$11,MATCH(E1112,Weights!$A$7:$A$11,0)),0)*IFERROR(INDEX(Weights!$B$14:$B$17,MATCH(TEXT(J1112,"0"),Weights!$A$14:$A$17,0)),0)/(1+N(N1112)/50),1))</f>
        <v/>
      </c>
      <c r="Q1112" s="5" t="s">
        <v>42</v>
      </c>
    </row>
    <row r="1113" customFormat="false" ht="15" hidden="false" customHeight="false" outlineLevel="0" collapsed="false">
      <c r="A1113" s="5" t="n">
        <v>1112</v>
      </c>
      <c r="B1113" s="5" t="s">
        <v>1281</v>
      </c>
      <c r="C1113" s="5" t="s">
        <v>464</v>
      </c>
      <c r="D1113" s="5" t="s">
        <v>36</v>
      </c>
      <c r="E1113" s="5" t="s">
        <v>1108</v>
      </c>
      <c r="F1113" s="5" t="s">
        <v>1265</v>
      </c>
      <c r="G1113" s="5" t="s">
        <v>39</v>
      </c>
      <c r="H1113" s="5" t="s">
        <v>40</v>
      </c>
      <c r="I1113" s="5" t="s">
        <v>796</v>
      </c>
      <c r="J1113" s="5" t="n">
        <v>4</v>
      </c>
      <c r="K1113" s="5"/>
      <c r="L1113" s="6"/>
      <c r="M1113" s="6"/>
      <c r="N1113" s="6"/>
      <c r="O1113" s="6"/>
      <c r="P1113" s="5" t="str">
        <f aca="false">IF(M1113="","",ROUND(M1113*IFERROR(INDEX(Weights!$B$2:$B$4,MATCH(G1113,Weights!$A$2:$A$4,0)),0)*IFERROR(INDEX(Weights!$B$7:$B$11,MATCH(E1113,Weights!$A$7:$A$11,0)),0)*IFERROR(INDEX(Weights!$B$14:$B$17,MATCH(TEXT(J1113,"0"),Weights!$A$14:$A$17,0)),0)/(1+N(N1113)/50),1))</f>
        <v/>
      </c>
      <c r="Q1113" s="5" t="s">
        <v>42</v>
      </c>
    </row>
    <row r="1114" customFormat="false" ht="15" hidden="false" customHeight="false" outlineLevel="0" collapsed="false">
      <c r="A1114" s="5" t="n">
        <v>1113</v>
      </c>
      <c r="B1114" s="5" t="s">
        <v>1282</v>
      </c>
      <c r="C1114" s="5" t="s">
        <v>464</v>
      </c>
      <c r="D1114" s="5" t="s">
        <v>36</v>
      </c>
      <c r="E1114" s="5" t="s">
        <v>1108</v>
      </c>
      <c r="F1114" s="5" t="s">
        <v>1265</v>
      </c>
      <c r="G1114" s="5" t="s">
        <v>39</v>
      </c>
      <c r="H1114" s="5" t="s">
        <v>40</v>
      </c>
      <c r="I1114" s="5" t="s">
        <v>796</v>
      </c>
      <c r="J1114" s="5" t="n">
        <v>4</v>
      </c>
      <c r="K1114" s="5"/>
      <c r="L1114" s="6"/>
      <c r="M1114" s="6"/>
      <c r="N1114" s="6"/>
      <c r="O1114" s="6"/>
      <c r="P1114" s="5" t="str">
        <f aca="false">IF(M1114="","",ROUND(M1114*IFERROR(INDEX(Weights!$B$2:$B$4,MATCH(G1114,Weights!$A$2:$A$4,0)),0)*IFERROR(INDEX(Weights!$B$7:$B$11,MATCH(E1114,Weights!$A$7:$A$11,0)),0)*IFERROR(INDEX(Weights!$B$14:$B$17,MATCH(TEXT(J1114,"0"),Weights!$A$14:$A$17,0)),0)/(1+N(N1114)/50),1))</f>
        <v/>
      </c>
      <c r="Q1114" s="5" t="s">
        <v>42</v>
      </c>
    </row>
    <row r="1115" customFormat="false" ht="15" hidden="false" customHeight="false" outlineLevel="0" collapsed="false">
      <c r="A1115" s="5" t="n">
        <v>1114</v>
      </c>
      <c r="B1115" s="5" t="s">
        <v>1283</v>
      </c>
      <c r="C1115" s="5" t="s">
        <v>456</v>
      </c>
      <c r="D1115" s="5" t="s">
        <v>36</v>
      </c>
      <c r="E1115" s="5" t="s">
        <v>1108</v>
      </c>
      <c r="F1115" s="5" t="s">
        <v>1265</v>
      </c>
      <c r="G1115" s="5" t="s">
        <v>39</v>
      </c>
      <c r="H1115" s="5" t="s">
        <v>40</v>
      </c>
      <c r="I1115" s="5" t="s">
        <v>796</v>
      </c>
      <c r="J1115" s="5" t="n">
        <v>4</v>
      </c>
      <c r="K1115" s="5"/>
      <c r="L1115" s="6"/>
      <c r="M1115" s="6"/>
      <c r="N1115" s="6"/>
      <c r="O1115" s="6"/>
      <c r="P1115" s="5" t="str">
        <f aca="false">IF(M1115="","",ROUND(M1115*IFERROR(INDEX(Weights!$B$2:$B$4,MATCH(G1115,Weights!$A$2:$A$4,0)),0)*IFERROR(INDEX(Weights!$B$7:$B$11,MATCH(E1115,Weights!$A$7:$A$11,0)),0)*IFERROR(INDEX(Weights!$B$14:$B$17,MATCH(TEXT(J1115,"0"),Weights!$A$14:$A$17,0)),0)/(1+N(N1115)/50),1))</f>
        <v/>
      </c>
      <c r="Q1115" s="5" t="s">
        <v>42</v>
      </c>
    </row>
    <row r="1116" customFormat="false" ht="15" hidden="false" customHeight="false" outlineLevel="0" collapsed="false">
      <c r="A1116" s="5" t="n">
        <v>1115</v>
      </c>
      <c r="B1116" s="5" t="s">
        <v>1284</v>
      </c>
      <c r="C1116" s="5" t="s">
        <v>456</v>
      </c>
      <c r="D1116" s="5" t="s">
        <v>36</v>
      </c>
      <c r="E1116" s="5" t="s">
        <v>1108</v>
      </c>
      <c r="F1116" s="5" t="s">
        <v>1265</v>
      </c>
      <c r="G1116" s="5" t="s">
        <v>39</v>
      </c>
      <c r="H1116" s="5" t="s">
        <v>40</v>
      </c>
      <c r="I1116" s="5" t="s">
        <v>796</v>
      </c>
      <c r="J1116" s="5" t="n">
        <v>4</v>
      </c>
      <c r="K1116" s="5"/>
      <c r="L1116" s="6"/>
      <c r="M1116" s="6"/>
      <c r="N1116" s="6"/>
      <c r="O1116" s="6"/>
      <c r="P1116" s="5" t="str">
        <f aca="false">IF(M1116="","",ROUND(M1116*IFERROR(INDEX(Weights!$B$2:$B$4,MATCH(G1116,Weights!$A$2:$A$4,0)),0)*IFERROR(INDEX(Weights!$B$7:$B$11,MATCH(E1116,Weights!$A$7:$A$11,0)),0)*IFERROR(INDEX(Weights!$B$14:$B$17,MATCH(TEXT(J1116,"0"),Weights!$A$14:$A$17,0)),0)/(1+N(N1116)/50),1))</f>
        <v/>
      </c>
      <c r="Q1116" s="5" t="s">
        <v>42</v>
      </c>
    </row>
    <row r="1117" customFormat="false" ht="15" hidden="false" customHeight="false" outlineLevel="0" collapsed="false">
      <c r="A1117" s="5" t="n">
        <v>1116</v>
      </c>
      <c r="B1117" s="5" t="s">
        <v>1285</v>
      </c>
      <c r="C1117" s="5" t="s">
        <v>64</v>
      </c>
      <c r="D1117" s="5" t="s">
        <v>36</v>
      </c>
      <c r="E1117" s="5" t="s">
        <v>1108</v>
      </c>
      <c r="F1117" s="5" t="s">
        <v>1265</v>
      </c>
      <c r="G1117" s="5" t="s">
        <v>39</v>
      </c>
      <c r="H1117" s="5" t="s">
        <v>40</v>
      </c>
      <c r="I1117" s="5" t="s">
        <v>796</v>
      </c>
      <c r="J1117" s="5" t="n">
        <v>4</v>
      </c>
      <c r="K1117" s="5"/>
      <c r="L1117" s="6"/>
      <c r="M1117" s="6"/>
      <c r="N1117" s="6"/>
      <c r="O1117" s="6"/>
      <c r="P1117" s="5" t="str">
        <f aca="false">IF(M1117="","",ROUND(M1117*IFERROR(INDEX(Weights!$B$2:$B$4,MATCH(G1117,Weights!$A$2:$A$4,0)),0)*IFERROR(INDEX(Weights!$B$7:$B$11,MATCH(E1117,Weights!$A$7:$A$11,0)),0)*IFERROR(INDEX(Weights!$B$14:$B$17,MATCH(TEXT(J1117,"0"),Weights!$A$14:$A$17,0)),0)/(1+N(N1117)/50),1))</f>
        <v/>
      </c>
      <c r="Q1117" s="5" t="s">
        <v>42</v>
      </c>
    </row>
    <row r="1118" customFormat="false" ht="15" hidden="false" customHeight="false" outlineLevel="0" collapsed="false">
      <c r="A1118" s="5" t="n">
        <v>1117</v>
      </c>
      <c r="B1118" s="5" t="s">
        <v>1286</v>
      </c>
      <c r="C1118" s="5" t="s">
        <v>64</v>
      </c>
      <c r="D1118" s="5" t="s">
        <v>36</v>
      </c>
      <c r="E1118" s="5" t="s">
        <v>1108</v>
      </c>
      <c r="F1118" s="5" t="s">
        <v>1265</v>
      </c>
      <c r="G1118" s="5" t="s">
        <v>39</v>
      </c>
      <c r="H1118" s="5" t="s">
        <v>40</v>
      </c>
      <c r="I1118" s="5" t="s">
        <v>796</v>
      </c>
      <c r="J1118" s="5" t="n">
        <v>4</v>
      </c>
      <c r="K1118" s="5"/>
      <c r="L1118" s="6"/>
      <c r="M1118" s="6"/>
      <c r="N1118" s="6"/>
      <c r="O1118" s="6"/>
      <c r="P1118" s="5" t="str">
        <f aca="false">IF(M1118="","",ROUND(M1118*IFERROR(INDEX(Weights!$B$2:$B$4,MATCH(G1118,Weights!$A$2:$A$4,0)),0)*IFERROR(INDEX(Weights!$B$7:$B$11,MATCH(E1118,Weights!$A$7:$A$11,0)),0)*IFERROR(INDEX(Weights!$B$14:$B$17,MATCH(TEXT(J1118,"0"),Weights!$A$14:$A$17,0)),0)/(1+N(N1118)/50),1))</f>
        <v/>
      </c>
      <c r="Q1118" s="5" t="s">
        <v>42</v>
      </c>
    </row>
    <row r="1119" customFormat="false" ht="15" hidden="false" customHeight="false" outlineLevel="0" collapsed="false">
      <c r="A1119" s="5" t="n">
        <v>1118</v>
      </c>
      <c r="B1119" s="5" t="s">
        <v>1287</v>
      </c>
      <c r="C1119" s="5" t="s">
        <v>61</v>
      </c>
      <c r="D1119" s="5" t="s">
        <v>36</v>
      </c>
      <c r="E1119" s="5" t="s">
        <v>1108</v>
      </c>
      <c r="F1119" s="5" t="s">
        <v>1265</v>
      </c>
      <c r="G1119" s="5" t="s">
        <v>39</v>
      </c>
      <c r="H1119" s="5" t="s">
        <v>40</v>
      </c>
      <c r="I1119" s="5" t="s">
        <v>796</v>
      </c>
      <c r="J1119" s="5" t="n">
        <v>4</v>
      </c>
      <c r="K1119" s="5"/>
      <c r="L1119" s="6"/>
      <c r="M1119" s="6"/>
      <c r="N1119" s="6"/>
      <c r="O1119" s="6"/>
      <c r="P1119" s="5" t="str">
        <f aca="false">IF(M1119="","",ROUND(M1119*IFERROR(INDEX(Weights!$B$2:$B$4,MATCH(G1119,Weights!$A$2:$A$4,0)),0)*IFERROR(INDEX(Weights!$B$7:$B$11,MATCH(E1119,Weights!$A$7:$A$11,0)),0)*IFERROR(INDEX(Weights!$B$14:$B$17,MATCH(TEXT(J1119,"0"),Weights!$A$14:$A$17,0)),0)/(1+N(N1119)/50),1))</f>
        <v/>
      </c>
      <c r="Q1119" s="5" t="s">
        <v>42</v>
      </c>
    </row>
    <row r="1120" customFormat="false" ht="15" hidden="false" customHeight="false" outlineLevel="0" collapsed="false">
      <c r="A1120" s="5" t="n">
        <v>1119</v>
      </c>
      <c r="B1120" s="5" t="s">
        <v>1288</v>
      </c>
      <c r="C1120" s="5" t="s">
        <v>66</v>
      </c>
      <c r="D1120" s="5" t="s">
        <v>36</v>
      </c>
      <c r="E1120" s="5" t="s">
        <v>1108</v>
      </c>
      <c r="F1120" s="5" t="s">
        <v>1265</v>
      </c>
      <c r="G1120" s="5" t="s">
        <v>39</v>
      </c>
      <c r="H1120" s="5" t="s">
        <v>40</v>
      </c>
      <c r="I1120" s="5" t="s">
        <v>796</v>
      </c>
      <c r="J1120" s="5" t="n">
        <v>4</v>
      </c>
      <c r="K1120" s="5"/>
      <c r="L1120" s="6"/>
      <c r="M1120" s="6"/>
      <c r="N1120" s="6"/>
      <c r="O1120" s="6"/>
      <c r="P1120" s="5" t="str">
        <f aca="false">IF(M1120="","",ROUND(M1120*IFERROR(INDEX(Weights!$B$2:$B$4,MATCH(G1120,Weights!$A$2:$A$4,0)),0)*IFERROR(INDEX(Weights!$B$7:$B$11,MATCH(E1120,Weights!$A$7:$A$11,0)),0)*IFERROR(INDEX(Weights!$B$14:$B$17,MATCH(TEXT(J1120,"0"),Weights!$A$14:$A$17,0)),0)/(1+N(N1120)/50),1))</f>
        <v/>
      </c>
      <c r="Q1120" s="5" t="s">
        <v>42</v>
      </c>
    </row>
    <row r="1121" customFormat="false" ht="15" hidden="false" customHeight="false" outlineLevel="0" collapsed="false">
      <c r="A1121" s="5" t="n">
        <v>1120</v>
      </c>
      <c r="B1121" s="5" t="s">
        <v>1289</v>
      </c>
      <c r="C1121" s="5" t="s">
        <v>69</v>
      </c>
      <c r="D1121" s="5" t="s">
        <v>36</v>
      </c>
      <c r="E1121" s="5" t="s">
        <v>1108</v>
      </c>
      <c r="F1121" s="5" t="s">
        <v>1265</v>
      </c>
      <c r="G1121" s="5" t="s">
        <v>39</v>
      </c>
      <c r="H1121" s="5" t="s">
        <v>40</v>
      </c>
      <c r="I1121" s="5" t="s">
        <v>796</v>
      </c>
      <c r="J1121" s="5" t="n">
        <v>4</v>
      </c>
      <c r="K1121" s="5"/>
      <c r="L1121" s="6"/>
      <c r="M1121" s="6"/>
      <c r="N1121" s="6"/>
      <c r="O1121" s="6"/>
      <c r="P1121" s="5" t="str">
        <f aca="false">IF(M1121="","",ROUND(M1121*IFERROR(INDEX(Weights!$B$2:$B$4,MATCH(G1121,Weights!$A$2:$A$4,0)),0)*IFERROR(INDEX(Weights!$B$7:$B$11,MATCH(E1121,Weights!$A$7:$A$11,0)),0)*IFERROR(INDEX(Weights!$B$14:$B$17,MATCH(TEXT(J1121,"0"),Weights!$A$14:$A$17,0)),0)/(1+N(N1121)/50),1))</f>
        <v/>
      </c>
      <c r="Q1121" s="5" t="s">
        <v>42</v>
      </c>
    </row>
    <row r="1122" customFormat="false" ht="15" hidden="false" customHeight="false" outlineLevel="0" collapsed="false">
      <c r="A1122" s="5" t="n">
        <v>1121</v>
      </c>
      <c r="B1122" s="5" t="s">
        <v>1290</v>
      </c>
      <c r="C1122" s="5" t="s">
        <v>35</v>
      </c>
      <c r="D1122" s="5" t="s">
        <v>36</v>
      </c>
      <c r="E1122" s="5" t="s">
        <v>1291</v>
      </c>
      <c r="F1122" s="5" t="s">
        <v>1292</v>
      </c>
      <c r="G1122" s="5" t="s">
        <v>39</v>
      </c>
      <c r="H1122" s="5" t="s">
        <v>40</v>
      </c>
      <c r="I1122" s="5" t="s">
        <v>796</v>
      </c>
      <c r="J1122" s="5" t="n">
        <v>4</v>
      </c>
      <c r="K1122" s="5"/>
      <c r="L1122" s="6"/>
      <c r="M1122" s="6"/>
      <c r="N1122" s="6"/>
      <c r="O1122" s="6"/>
      <c r="P1122" s="5" t="str">
        <f aca="false">IF(M1122="","",ROUND(M1122*IFERROR(INDEX(Weights!$B$2:$B$4,MATCH(G1122,Weights!$A$2:$A$4,0)),0)*IFERROR(INDEX(Weights!$B$7:$B$11,MATCH(E1122,Weights!$A$7:$A$11,0)),0)*IFERROR(INDEX(Weights!$B$14:$B$17,MATCH(TEXT(J1122,"0"),Weights!$A$14:$A$17,0)),0)/(1+N(N1122)/50),1))</f>
        <v/>
      </c>
      <c r="Q1122" s="5" t="s">
        <v>42</v>
      </c>
    </row>
    <row r="1123" customFormat="false" ht="15" hidden="false" customHeight="false" outlineLevel="0" collapsed="false">
      <c r="A1123" s="5" t="n">
        <v>1122</v>
      </c>
      <c r="B1123" s="5" t="s">
        <v>1293</v>
      </c>
      <c r="C1123" s="5" t="s">
        <v>35</v>
      </c>
      <c r="D1123" s="5" t="s">
        <v>36</v>
      </c>
      <c r="E1123" s="5" t="s">
        <v>1291</v>
      </c>
      <c r="F1123" s="5" t="s">
        <v>1292</v>
      </c>
      <c r="G1123" s="5" t="s">
        <v>39</v>
      </c>
      <c r="H1123" s="5" t="s">
        <v>40</v>
      </c>
      <c r="I1123" s="5" t="s">
        <v>796</v>
      </c>
      <c r="J1123" s="5" t="n">
        <v>4</v>
      </c>
      <c r="K1123" s="5"/>
      <c r="L1123" s="6"/>
      <c r="M1123" s="6"/>
      <c r="N1123" s="6"/>
      <c r="O1123" s="6"/>
      <c r="P1123" s="5" t="str">
        <f aca="false">IF(M1123="","",ROUND(M1123*IFERROR(INDEX(Weights!$B$2:$B$4,MATCH(G1123,Weights!$A$2:$A$4,0)),0)*IFERROR(INDEX(Weights!$B$7:$B$11,MATCH(E1123,Weights!$A$7:$A$11,0)),0)*IFERROR(INDEX(Weights!$B$14:$B$17,MATCH(TEXT(J1123,"0"),Weights!$A$14:$A$17,0)),0)/(1+N(N1123)/50),1))</f>
        <v/>
      </c>
      <c r="Q1123" s="5" t="s">
        <v>42</v>
      </c>
    </row>
    <row r="1124" customFormat="false" ht="15" hidden="false" customHeight="false" outlineLevel="0" collapsed="false">
      <c r="A1124" s="5" t="n">
        <v>1123</v>
      </c>
      <c r="B1124" s="5" t="s">
        <v>1294</v>
      </c>
      <c r="C1124" s="5" t="s">
        <v>35</v>
      </c>
      <c r="D1124" s="5" t="s">
        <v>36</v>
      </c>
      <c r="E1124" s="5" t="s">
        <v>1291</v>
      </c>
      <c r="F1124" s="5" t="s">
        <v>1292</v>
      </c>
      <c r="G1124" s="5" t="s">
        <v>39</v>
      </c>
      <c r="H1124" s="5" t="s">
        <v>40</v>
      </c>
      <c r="I1124" s="5" t="s">
        <v>796</v>
      </c>
      <c r="J1124" s="5" t="n">
        <v>4</v>
      </c>
      <c r="K1124" s="5"/>
      <c r="L1124" s="6"/>
      <c r="M1124" s="6"/>
      <c r="N1124" s="6"/>
      <c r="O1124" s="6"/>
      <c r="P1124" s="5" t="str">
        <f aca="false">IF(M1124="","",ROUND(M1124*IFERROR(INDEX(Weights!$B$2:$B$4,MATCH(G1124,Weights!$A$2:$A$4,0)),0)*IFERROR(INDEX(Weights!$B$7:$B$11,MATCH(E1124,Weights!$A$7:$A$11,0)),0)*IFERROR(INDEX(Weights!$B$14:$B$17,MATCH(TEXT(J1124,"0"),Weights!$A$14:$A$17,0)),0)/(1+N(N1124)/50),1))</f>
        <v/>
      </c>
      <c r="Q1124" s="5" t="s">
        <v>42</v>
      </c>
    </row>
    <row r="1125" customFormat="false" ht="15" hidden="false" customHeight="false" outlineLevel="0" collapsed="false">
      <c r="A1125" s="5" t="n">
        <v>1124</v>
      </c>
      <c r="B1125" s="5" t="s">
        <v>1295</v>
      </c>
      <c r="C1125" s="5" t="s">
        <v>47</v>
      </c>
      <c r="D1125" s="5" t="s">
        <v>36</v>
      </c>
      <c r="E1125" s="5" t="s">
        <v>1291</v>
      </c>
      <c r="F1125" s="5" t="s">
        <v>1292</v>
      </c>
      <c r="G1125" s="5" t="s">
        <v>39</v>
      </c>
      <c r="H1125" s="5" t="s">
        <v>40</v>
      </c>
      <c r="I1125" s="5" t="s">
        <v>796</v>
      </c>
      <c r="J1125" s="5" t="n">
        <v>4</v>
      </c>
      <c r="K1125" s="5"/>
      <c r="L1125" s="6"/>
      <c r="M1125" s="6"/>
      <c r="N1125" s="6"/>
      <c r="O1125" s="6"/>
      <c r="P1125" s="5" t="str">
        <f aca="false">IF(M1125="","",ROUND(M1125*IFERROR(INDEX(Weights!$B$2:$B$4,MATCH(G1125,Weights!$A$2:$A$4,0)),0)*IFERROR(INDEX(Weights!$B$7:$B$11,MATCH(E1125,Weights!$A$7:$A$11,0)),0)*IFERROR(INDEX(Weights!$B$14:$B$17,MATCH(TEXT(J1125,"0"),Weights!$A$14:$A$17,0)),0)/(1+N(N1125)/50),1))</f>
        <v/>
      </c>
      <c r="Q1125" s="5" t="s">
        <v>42</v>
      </c>
    </row>
    <row r="1126" customFormat="false" ht="15" hidden="false" customHeight="false" outlineLevel="0" collapsed="false">
      <c r="A1126" s="5" t="n">
        <v>1125</v>
      </c>
      <c r="B1126" s="5" t="s">
        <v>1296</v>
      </c>
      <c r="C1126" s="5" t="s">
        <v>47</v>
      </c>
      <c r="D1126" s="5" t="s">
        <v>36</v>
      </c>
      <c r="E1126" s="5" t="s">
        <v>1291</v>
      </c>
      <c r="F1126" s="5" t="s">
        <v>1292</v>
      </c>
      <c r="G1126" s="5" t="s">
        <v>39</v>
      </c>
      <c r="H1126" s="5" t="s">
        <v>40</v>
      </c>
      <c r="I1126" s="5" t="s">
        <v>796</v>
      </c>
      <c r="J1126" s="5" t="n">
        <v>4</v>
      </c>
      <c r="K1126" s="5"/>
      <c r="L1126" s="6"/>
      <c r="M1126" s="6"/>
      <c r="N1126" s="6"/>
      <c r="O1126" s="6"/>
      <c r="P1126" s="5" t="str">
        <f aca="false">IF(M1126="","",ROUND(M1126*IFERROR(INDEX(Weights!$B$2:$B$4,MATCH(G1126,Weights!$A$2:$A$4,0)),0)*IFERROR(INDEX(Weights!$B$7:$B$11,MATCH(E1126,Weights!$A$7:$A$11,0)),0)*IFERROR(INDEX(Weights!$B$14:$B$17,MATCH(TEXT(J1126,"0"),Weights!$A$14:$A$17,0)),0)/(1+N(N1126)/50),1))</f>
        <v/>
      </c>
      <c r="Q1126" s="5" t="s">
        <v>42</v>
      </c>
    </row>
    <row r="1127" customFormat="false" ht="15" hidden="false" customHeight="false" outlineLevel="0" collapsed="false">
      <c r="A1127" s="5" t="n">
        <v>1126</v>
      </c>
      <c r="B1127" s="5" t="s">
        <v>1297</v>
      </c>
      <c r="C1127" s="5" t="s">
        <v>47</v>
      </c>
      <c r="D1127" s="5" t="s">
        <v>36</v>
      </c>
      <c r="E1127" s="5" t="s">
        <v>1291</v>
      </c>
      <c r="F1127" s="5" t="s">
        <v>1292</v>
      </c>
      <c r="G1127" s="5" t="s">
        <v>39</v>
      </c>
      <c r="H1127" s="5" t="s">
        <v>40</v>
      </c>
      <c r="I1127" s="5" t="s">
        <v>796</v>
      </c>
      <c r="J1127" s="5" t="n">
        <v>4</v>
      </c>
      <c r="K1127" s="5"/>
      <c r="L1127" s="6"/>
      <c r="M1127" s="6"/>
      <c r="N1127" s="6"/>
      <c r="O1127" s="6"/>
      <c r="P1127" s="5" t="str">
        <f aca="false">IF(M1127="","",ROUND(M1127*IFERROR(INDEX(Weights!$B$2:$B$4,MATCH(G1127,Weights!$A$2:$A$4,0)),0)*IFERROR(INDEX(Weights!$B$7:$B$11,MATCH(E1127,Weights!$A$7:$A$11,0)),0)*IFERROR(INDEX(Weights!$B$14:$B$17,MATCH(TEXT(J1127,"0"),Weights!$A$14:$A$17,0)),0)/(1+N(N1127)/50),1))</f>
        <v/>
      </c>
      <c r="Q1127" s="5" t="s">
        <v>42</v>
      </c>
    </row>
    <row r="1128" customFormat="false" ht="15" hidden="false" customHeight="false" outlineLevel="0" collapsed="false">
      <c r="A1128" s="5" t="n">
        <v>1127</v>
      </c>
      <c r="B1128" s="5" t="s">
        <v>1298</v>
      </c>
      <c r="C1128" s="5" t="s">
        <v>47</v>
      </c>
      <c r="D1128" s="5" t="s">
        <v>36</v>
      </c>
      <c r="E1128" s="5" t="s">
        <v>1291</v>
      </c>
      <c r="F1128" s="5" t="s">
        <v>1292</v>
      </c>
      <c r="G1128" s="5" t="s">
        <v>39</v>
      </c>
      <c r="H1128" s="5" t="s">
        <v>40</v>
      </c>
      <c r="I1128" s="5" t="s">
        <v>796</v>
      </c>
      <c r="J1128" s="5" t="n">
        <v>4</v>
      </c>
      <c r="K1128" s="5"/>
      <c r="L1128" s="6"/>
      <c r="M1128" s="6"/>
      <c r="N1128" s="6"/>
      <c r="O1128" s="6"/>
      <c r="P1128" s="5" t="str">
        <f aca="false">IF(M1128="","",ROUND(M1128*IFERROR(INDEX(Weights!$B$2:$B$4,MATCH(G1128,Weights!$A$2:$A$4,0)),0)*IFERROR(INDEX(Weights!$B$7:$B$11,MATCH(E1128,Weights!$A$7:$A$11,0)),0)*IFERROR(INDEX(Weights!$B$14:$B$17,MATCH(TEXT(J1128,"0"),Weights!$A$14:$A$17,0)),0)/(1+N(N1128)/50),1))</f>
        <v/>
      </c>
      <c r="Q1128" s="5" t="s">
        <v>42</v>
      </c>
    </row>
    <row r="1129" customFormat="false" ht="15" hidden="false" customHeight="false" outlineLevel="0" collapsed="false">
      <c r="A1129" s="5" t="n">
        <v>1128</v>
      </c>
      <c r="B1129" s="5" t="s">
        <v>1299</v>
      </c>
      <c r="C1129" s="5" t="s">
        <v>51</v>
      </c>
      <c r="D1129" s="5" t="s">
        <v>36</v>
      </c>
      <c r="E1129" s="5" t="s">
        <v>1291</v>
      </c>
      <c r="F1129" s="5" t="s">
        <v>1292</v>
      </c>
      <c r="G1129" s="5" t="s">
        <v>39</v>
      </c>
      <c r="H1129" s="5" t="s">
        <v>40</v>
      </c>
      <c r="I1129" s="5" t="s">
        <v>796</v>
      </c>
      <c r="J1129" s="5" t="n">
        <v>4</v>
      </c>
      <c r="K1129" s="5"/>
      <c r="L1129" s="6"/>
      <c r="M1129" s="6"/>
      <c r="N1129" s="6"/>
      <c r="O1129" s="6"/>
      <c r="P1129" s="5" t="str">
        <f aca="false">IF(M1129="","",ROUND(M1129*IFERROR(INDEX(Weights!$B$2:$B$4,MATCH(G1129,Weights!$A$2:$A$4,0)),0)*IFERROR(INDEX(Weights!$B$7:$B$11,MATCH(E1129,Weights!$A$7:$A$11,0)),0)*IFERROR(INDEX(Weights!$B$14:$B$17,MATCH(TEXT(J1129,"0"),Weights!$A$14:$A$17,0)),0)/(1+N(N1129)/50),1))</f>
        <v/>
      </c>
      <c r="Q1129" s="5" t="s">
        <v>42</v>
      </c>
    </row>
    <row r="1130" customFormat="false" ht="15" hidden="false" customHeight="false" outlineLevel="0" collapsed="false">
      <c r="A1130" s="5" t="n">
        <v>1129</v>
      </c>
      <c r="B1130" s="5" t="s">
        <v>1300</v>
      </c>
      <c r="C1130" s="5" t="s">
        <v>51</v>
      </c>
      <c r="D1130" s="5" t="s">
        <v>36</v>
      </c>
      <c r="E1130" s="5" t="s">
        <v>1291</v>
      </c>
      <c r="F1130" s="5" t="s">
        <v>1292</v>
      </c>
      <c r="G1130" s="5" t="s">
        <v>39</v>
      </c>
      <c r="H1130" s="5" t="s">
        <v>40</v>
      </c>
      <c r="I1130" s="5" t="s">
        <v>796</v>
      </c>
      <c r="J1130" s="5" t="n">
        <v>4</v>
      </c>
      <c r="K1130" s="5"/>
      <c r="L1130" s="6"/>
      <c r="M1130" s="6"/>
      <c r="N1130" s="6"/>
      <c r="O1130" s="6"/>
      <c r="P1130" s="5" t="str">
        <f aca="false">IF(M1130="","",ROUND(M1130*IFERROR(INDEX(Weights!$B$2:$B$4,MATCH(G1130,Weights!$A$2:$A$4,0)),0)*IFERROR(INDEX(Weights!$B$7:$B$11,MATCH(E1130,Weights!$A$7:$A$11,0)),0)*IFERROR(INDEX(Weights!$B$14:$B$17,MATCH(TEXT(J1130,"0"),Weights!$A$14:$A$17,0)),0)/(1+N(N1130)/50),1))</f>
        <v/>
      </c>
      <c r="Q1130" s="5" t="s">
        <v>42</v>
      </c>
    </row>
    <row r="1131" customFormat="false" ht="15" hidden="false" customHeight="false" outlineLevel="0" collapsed="false">
      <c r="A1131" s="5" t="n">
        <v>1130</v>
      </c>
      <c r="B1131" s="5" t="s">
        <v>1301</v>
      </c>
      <c r="C1131" s="5" t="s">
        <v>51</v>
      </c>
      <c r="D1131" s="5" t="s">
        <v>36</v>
      </c>
      <c r="E1131" s="5" t="s">
        <v>1291</v>
      </c>
      <c r="F1131" s="5" t="s">
        <v>1292</v>
      </c>
      <c r="G1131" s="5" t="s">
        <v>39</v>
      </c>
      <c r="H1131" s="5" t="s">
        <v>40</v>
      </c>
      <c r="I1131" s="5" t="s">
        <v>796</v>
      </c>
      <c r="J1131" s="5" t="n">
        <v>4</v>
      </c>
      <c r="K1131" s="5"/>
      <c r="L1131" s="6"/>
      <c r="M1131" s="6"/>
      <c r="N1131" s="6"/>
      <c r="O1131" s="6"/>
      <c r="P1131" s="5" t="str">
        <f aca="false">IF(M1131="","",ROUND(M1131*IFERROR(INDEX(Weights!$B$2:$B$4,MATCH(G1131,Weights!$A$2:$A$4,0)),0)*IFERROR(INDEX(Weights!$B$7:$B$11,MATCH(E1131,Weights!$A$7:$A$11,0)),0)*IFERROR(INDEX(Weights!$B$14:$B$17,MATCH(TEXT(J1131,"0"),Weights!$A$14:$A$17,0)),0)/(1+N(N1131)/50),1))</f>
        <v/>
      </c>
      <c r="Q1131" s="5" t="s">
        <v>42</v>
      </c>
    </row>
    <row r="1132" customFormat="false" ht="15" hidden="false" customHeight="false" outlineLevel="0" collapsed="false">
      <c r="A1132" s="5" t="n">
        <v>1131</v>
      </c>
      <c r="B1132" s="5" t="s">
        <v>1302</v>
      </c>
      <c r="C1132" s="5" t="s">
        <v>54</v>
      </c>
      <c r="D1132" s="5" t="s">
        <v>36</v>
      </c>
      <c r="E1132" s="5" t="s">
        <v>1291</v>
      </c>
      <c r="F1132" s="5" t="s">
        <v>1292</v>
      </c>
      <c r="G1132" s="5" t="s">
        <v>39</v>
      </c>
      <c r="H1132" s="5" t="s">
        <v>40</v>
      </c>
      <c r="I1132" s="5" t="s">
        <v>796</v>
      </c>
      <c r="J1132" s="5" t="n">
        <v>4</v>
      </c>
      <c r="K1132" s="5"/>
      <c r="L1132" s="6"/>
      <c r="M1132" s="6"/>
      <c r="N1132" s="6"/>
      <c r="O1132" s="6"/>
      <c r="P1132" s="5" t="str">
        <f aca="false">IF(M1132="","",ROUND(M1132*IFERROR(INDEX(Weights!$B$2:$B$4,MATCH(G1132,Weights!$A$2:$A$4,0)),0)*IFERROR(INDEX(Weights!$B$7:$B$11,MATCH(E1132,Weights!$A$7:$A$11,0)),0)*IFERROR(INDEX(Weights!$B$14:$B$17,MATCH(TEXT(J1132,"0"),Weights!$A$14:$A$17,0)),0)/(1+N(N1132)/50),1))</f>
        <v/>
      </c>
      <c r="Q1132" s="5" t="s">
        <v>42</v>
      </c>
    </row>
    <row r="1133" customFormat="false" ht="15" hidden="false" customHeight="false" outlineLevel="0" collapsed="false">
      <c r="A1133" s="5" t="n">
        <v>1132</v>
      </c>
      <c r="B1133" s="5" t="s">
        <v>1303</v>
      </c>
      <c r="C1133" s="5" t="s">
        <v>54</v>
      </c>
      <c r="D1133" s="5" t="s">
        <v>36</v>
      </c>
      <c r="E1133" s="5" t="s">
        <v>1291</v>
      </c>
      <c r="F1133" s="5" t="s">
        <v>1292</v>
      </c>
      <c r="G1133" s="5" t="s">
        <v>39</v>
      </c>
      <c r="H1133" s="5" t="s">
        <v>40</v>
      </c>
      <c r="I1133" s="5" t="s">
        <v>796</v>
      </c>
      <c r="J1133" s="5" t="n">
        <v>4</v>
      </c>
      <c r="K1133" s="5"/>
      <c r="L1133" s="6"/>
      <c r="M1133" s="6"/>
      <c r="N1133" s="6"/>
      <c r="O1133" s="6"/>
      <c r="P1133" s="5" t="str">
        <f aca="false">IF(M1133="","",ROUND(M1133*IFERROR(INDEX(Weights!$B$2:$B$4,MATCH(G1133,Weights!$A$2:$A$4,0)),0)*IFERROR(INDEX(Weights!$B$7:$B$11,MATCH(E1133,Weights!$A$7:$A$11,0)),0)*IFERROR(INDEX(Weights!$B$14:$B$17,MATCH(TEXT(J1133,"0"),Weights!$A$14:$A$17,0)),0)/(1+N(N1133)/50),1))</f>
        <v/>
      </c>
      <c r="Q1133" s="5" t="s">
        <v>42</v>
      </c>
    </row>
    <row r="1134" customFormat="false" ht="15" hidden="false" customHeight="false" outlineLevel="0" collapsed="false">
      <c r="A1134" s="5" t="n">
        <v>1133</v>
      </c>
      <c r="B1134" s="5" t="s">
        <v>1304</v>
      </c>
      <c r="C1134" s="5" t="s">
        <v>57</v>
      </c>
      <c r="D1134" s="5" t="s">
        <v>36</v>
      </c>
      <c r="E1134" s="5" t="s">
        <v>1291</v>
      </c>
      <c r="F1134" s="5" t="s">
        <v>1292</v>
      </c>
      <c r="G1134" s="5" t="s">
        <v>39</v>
      </c>
      <c r="H1134" s="5" t="s">
        <v>40</v>
      </c>
      <c r="I1134" s="5" t="s">
        <v>796</v>
      </c>
      <c r="J1134" s="5" t="n">
        <v>4</v>
      </c>
      <c r="K1134" s="5"/>
      <c r="L1134" s="6"/>
      <c r="M1134" s="6"/>
      <c r="N1134" s="6"/>
      <c r="O1134" s="6"/>
      <c r="P1134" s="5" t="str">
        <f aca="false">IF(M1134="","",ROUND(M1134*IFERROR(INDEX(Weights!$B$2:$B$4,MATCH(G1134,Weights!$A$2:$A$4,0)),0)*IFERROR(INDEX(Weights!$B$7:$B$11,MATCH(E1134,Weights!$A$7:$A$11,0)),0)*IFERROR(INDEX(Weights!$B$14:$B$17,MATCH(TEXT(J1134,"0"),Weights!$A$14:$A$17,0)),0)/(1+N(N1134)/50),1))</f>
        <v/>
      </c>
      <c r="Q1134" s="5" t="s">
        <v>42</v>
      </c>
    </row>
    <row r="1135" customFormat="false" ht="15" hidden="false" customHeight="false" outlineLevel="0" collapsed="false">
      <c r="A1135" s="5" t="n">
        <v>1134</v>
      </c>
      <c r="B1135" s="5" t="s">
        <v>1305</v>
      </c>
      <c r="C1135" s="5" t="s">
        <v>57</v>
      </c>
      <c r="D1135" s="5" t="s">
        <v>36</v>
      </c>
      <c r="E1135" s="5" t="s">
        <v>1291</v>
      </c>
      <c r="F1135" s="5" t="s">
        <v>1292</v>
      </c>
      <c r="G1135" s="5" t="s">
        <v>39</v>
      </c>
      <c r="H1135" s="5" t="s">
        <v>40</v>
      </c>
      <c r="I1135" s="5" t="s">
        <v>796</v>
      </c>
      <c r="J1135" s="5" t="n">
        <v>4</v>
      </c>
      <c r="K1135" s="5"/>
      <c r="L1135" s="6"/>
      <c r="M1135" s="6"/>
      <c r="N1135" s="6"/>
      <c r="O1135" s="6"/>
      <c r="P1135" s="5" t="str">
        <f aca="false">IF(M1135="","",ROUND(M1135*IFERROR(INDEX(Weights!$B$2:$B$4,MATCH(G1135,Weights!$A$2:$A$4,0)),0)*IFERROR(INDEX(Weights!$B$7:$B$11,MATCH(E1135,Weights!$A$7:$A$11,0)),0)*IFERROR(INDEX(Weights!$B$14:$B$17,MATCH(TEXT(J1135,"0"),Weights!$A$14:$A$17,0)),0)/(1+N(N1135)/50),1))</f>
        <v/>
      </c>
      <c r="Q1135" s="5" t="s">
        <v>42</v>
      </c>
    </row>
    <row r="1136" customFormat="false" ht="15" hidden="false" customHeight="false" outlineLevel="0" collapsed="false">
      <c r="A1136" s="5" t="n">
        <v>1135</v>
      </c>
      <c r="B1136" s="5" t="s">
        <v>1306</v>
      </c>
      <c r="C1136" s="5" t="s">
        <v>57</v>
      </c>
      <c r="D1136" s="5" t="s">
        <v>36</v>
      </c>
      <c r="E1136" s="5" t="s">
        <v>1291</v>
      </c>
      <c r="F1136" s="5" t="s">
        <v>1292</v>
      </c>
      <c r="G1136" s="5" t="s">
        <v>39</v>
      </c>
      <c r="H1136" s="5" t="s">
        <v>40</v>
      </c>
      <c r="I1136" s="5" t="s">
        <v>796</v>
      </c>
      <c r="J1136" s="5" t="n">
        <v>4</v>
      </c>
      <c r="K1136" s="5"/>
      <c r="L1136" s="6"/>
      <c r="M1136" s="6"/>
      <c r="N1136" s="6"/>
      <c r="O1136" s="6"/>
      <c r="P1136" s="5" t="str">
        <f aca="false">IF(M1136="","",ROUND(M1136*IFERROR(INDEX(Weights!$B$2:$B$4,MATCH(G1136,Weights!$A$2:$A$4,0)),0)*IFERROR(INDEX(Weights!$B$7:$B$11,MATCH(E1136,Weights!$A$7:$A$11,0)),0)*IFERROR(INDEX(Weights!$B$14:$B$17,MATCH(TEXT(J1136,"0"),Weights!$A$14:$A$17,0)),0)/(1+N(N1136)/50),1))</f>
        <v/>
      </c>
      <c r="Q1136" s="5" t="s">
        <v>42</v>
      </c>
    </row>
    <row r="1137" customFormat="false" ht="15" hidden="false" customHeight="false" outlineLevel="0" collapsed="false">
      <c r="A1137" s="5" t="n">
        <v>1136</v>
      </c>
      <c r="B1137" s="5" t="s">
        <v>1307</v>
      </c>
      <c r="C1137" s="5" t="s">
        <v>464</v>
      </c>
      <c r="D1137" s="5" t="s">
        <v>36</v>
      </c>
      <c r="E1137" s="5" t="s">
        <v>1291</v>
      </c>
      <c r="F1137" s="5" t="s">
        <v>1292</v>
      </c>
      <c r="G1137" s="5" t="s">
        <v>39</v>
      </c>
      <c r="H1137" s="5" t="s">
        <v>40</v>
      </c>
      <c r="I1137" s="5" t="s">
        <v>796</v>
      </c>
      <c r="J1137" s="5" t="n">
        <v>4</v>
      </c>
      <c r="K1137" s="5"/>
      <c r="L1137" s="6"/>
      <c r="M1137" s="6"/>
      <c r="N1137" s="6"/>
      <c r="O1137" s="6"/>
      <c r="P1137" s="5" t="str">
        <f aca="false">IF(M1137="","",ROUND(M1137*IFERROR(INDEX(Weights!$B$2:$B$4,MATCH(G1137,Weights!$A$2:$A$4,0)),0)*IFERROR(INDEX(Weights!$B$7:$B$11,MATCH(E1137,Weights!$A$7:$A$11,0)),0)*IFERROR(INDEX(Weights!$B$14:$B$17,MATCH(TEXT(J1137,"0"),Weights!$A$14:$A$17,0)),0)/(1+N(N1137)/50),1))</f>
        <v/>
      </c>
      <c r="Q1137" s="5" t="s">
        <v>42</v>
      </c>
    </row>
    <row r="1138" customFormat="false" ht="15" hidden="false" customHeight="false" outlineLevel="0" collapsed="false">
      <c r="A1138" s="5" t="n">
        <v>1137</v>
      </c>
      <c r="B1138" s="5" t="s">
        <v>1308</v>
      </c>
      <c r="C1138" s="5" t="s">
        <v>464</v>
      </c>
      <c r="D1138" s="5" t="s">
        <v>36</v>
      </c>
      <c r="E1138" s="5" t="s">
        <v>1291</v>
      </c>
      <c r="F1138" s="5" t="s">
        <v>1292</v>
      </c>
      <c r="G1138" s="5" t="s">
        <v>39</v>
      </c>
      <c r="H1138" s="5" t="s">
        <v>40</v>
      </c>
      <c r="I1138" s="5" t="s">
        <v>796</v>
      </c>
      <c r="J1138" s="5" t="n">
        <v>4</v>
      </c>
      <c r="K1138" s="5"/>
      <c r="L1138" s="6"/>
      <c r="M1138" s="6"/>
      <c r="N1138" s="6"/>
      <c r="O1138" s="6"/>
      <c r="P1138" s="5" t="str">
        <f aca="false">IF(M1138="","",ROUND(M1138*IFERROR(INDEX(Weights!$B$2:$B$4,MATCH(G1138,Weights!$A$2:$A$4,0)),0)*IFERROR(INDEX(Weights!$B$7:$B$11,MATCH(E1138,Weights!$A$7:$A$11,0)),0)*IFERROR(INDEX(Weights!$B$14:$B$17,MATCH(TEXT(J1138,"0"),Weights!$A$14:$A$17,0)),0)/(1+N(N1138)/50),1))</f>
        <v/>
      </c>
      <c r="Q1138" s="5" t="s">
        <v>42</v>
      </c>
    </row>
    <row r="1139" customFormat="false" ht="15" hidden="false" customHeight="false" outlineLevel="0" collapsed="false">
      <c r="A1139" s="5" t="n">
        <v>1138</v>
      </c>
      <c r="B1139" s="5" t="s">
        <v>1309</v>
      </c>
      <c r="C1139" s="5" t="s">
        <v>464</v>
      </c>
      <c r="D1139" s="5" t="s">
        <v>36</v>
      </c>
      <c r="E1139" s="5" t="s">
        <v>1291</v>
      </c>
      <c r="F1139" s="5" t="s">
        <v>1292</v>
      </c>
      <c r="G1139" s="5" t="s">
        <v>39</v>
      </c>
      <c r="H1139" s="5" t="s">
        <v>40</v>
      </c>
      <c r="I1139" s="5" t="s">
        <v>796</v>
      </c>
      <c r="J1139" s="5" t="n">
        <v>4</v>
      </c>
      <c r="K1139" s="5"/>
      <c r="L1139" s="6"/>
      <c r="M1139" s="6"/>
      <c r="N1139" s="6"/>
      <c r="O1139" s="6"/>
      <c r="P1139" s="5" t="str">
        <f aca="false">IF(M1139="","",ROUND(M1139*IFERROR(INDEX(Weights!$B$2:$B$4,MATCH(G1139,Weights!$A$2:$A$4,0)),0)*IFERROR(INDEX(Weights!$B$7:$B$11,MATCH(E1139,Weights!$A$7:$A$11,0)),0)*IFERROR(INDEX(Weights!$B$14:$B$17,MATCH(TEXT(J1139,"0"),Weights!$A$14:$A$17,0)),0)/(1+N(N1139)/50),1))</f>
        <v/>
      </c>
      <c r="Q1139" s="5" t="s">
        <v>42</v>
      </c>
    </row>
    <row r="1140" customFormat="false" ht="15" hidden="false" customHeight="false" outlineLevel="0" collapsed="false">
      <c r="A1140" s="5" t="n">
        <v>1139</v>
      </c>
      <c r="B1140" s="5" t="s">
        <v>1310</v>
      </c>
      <c r="C1140" s="5" t="s">
        <v>456</v>
      </c>
      <c r="D1140" s="5" t="s">
        <v>36</v>
      </c>
      <c r="E1140" s="5" t="s">
        <v>1291</v>
      </c>
      <c r="F1140" s="5" t="s">
        <v>1292</v>
      </c>
      <c r="G1140" s="5" t="s">
        <v>39</v>
      </c>
      <c r="H1140" s="5" t="s">
        <v>40</v>
      </c>
      <c r="I1140" s="5" t="s">
        <v>796</v>
      </c>
      <c r="J1140" s="5" t="n">
        <v>4</v>
      </c>
      <c r="K1140" s="5"/>
      <c r="L1140" s="6"/>
      <c r="M1140" s="6"/>
      <c r="N1140" s="6"/>
      <c r="O1140" s="6"/>
      <c r="P1140" s="5" t="str">
        <f aca="false">IF(M1140="","",ROUND(M1140*IFERROR(INDEX(Weights!$B$2:$B$4,MATCH(G1140,Weights!$A$2:$A$4,0)),0)*IFERROR(INDEX(Weights!$B$7:$B$11,MATCH(E1140,Weights!$A$7:$A$11,0)),0)*IFERROR(INDEX(Weights!$B$14:$B$17,MATCH(TEXT(J1140,"0"),Weights!$A$14:$A$17,0)),0)/(1+N(N1140)/50),1))</f>
        <v/>
      </c>
      <c r="Q1140" s="5" t="s">
        <v>42</v>
      </c>
    </row>
    <row r="1141" customFormat="false" ht="15" hidden="false" customHeight="false" outlineLevel="0" collapsed="false">
      <c r="A1141" s="5" t="n">
        <v>1140</v>
      </c>
      <c r="B1141" s="5" t="s">
        <v>1311</v>
      </c>
      <c r="C1141" s="5" t="s">
        <v>456</v>
      </c>
      <c r="D1141" s="5" t="s">
        <v>36</v>
      </c>
      <c r="E1141" s="5" t="s">
        <v>1291</v>
      </c>
      <c r="F1141" s="5" t="s">
        <v>1292</v>
      </c>
      <c r="G1141" s="5" t="s">
        <v>39</v>
      </c>
      <c r="H1141" s="5" t="s">
        <v>40</v>
      </c>
      <c r="I1141" s="5" t="s">
        <v>796</v>
      </c>
      <c r="J1141" s="5" t="n">
        <v>4</v>
      </c>
      <c r="K1141" s="5"/>
      <c r="L1141" s="6"/>
      <c r="M1141" s="6"/>
      <c r="N1141" s="6"/>
      <c r="O1141" s="6"/>
      <c r="P1141" s="5" t="str">
        <f aca="false">IF(M1141="","",ROUND(M1141*IFERROR(INDEX(Weights!$B$2:$B$4,MATCH(G1141,Weights!$A$2:$A$4,0)),0)*IFERROR(INDEX(Weights!$B$7:$B$11,MATCH(E1141,Weights!$A$7:$A$11,0)),0)*IFERROR(INDEX(Weights!$B$14:$B$17,MATCH(TEXT(J1141,"0"),Weights!$A$14:$A$17,0)),0)/(1+N(N1141)/50),1))</f>
        <v/>
      </c>
      <c r="Q1141" s="5" t="s">
        <v>42</v>
      </c>
    </row>
    <row r="1142" customFormat="false" ht="15" hidden="false" customHeight="false" outlineLevel="0" collapsed="false">
      <c r="A1142" s="5" t="n">
        <v>1141</v>
      </c>
      <c r="B1142" s="5" t="s">
        <v>1312</v>
      </c>
      <c r="C1142" s="5" t="s">
        <v>456</v>
      </c>
      <c r="D1142" s="5" t="s">
        <v>36</v>
      </c>
      <c r="E1142" s="5" t="s">
        <v>1291</v>
      </c>
      <c r="F1142" s="5" t="s">
        <v>1292</v>
      </c>
      <c r="G1142" s="5" t="s">
        <v>39</v>
      </c>
      <c r="H1142" s="5" t="s">
        <v>40</v>
      </c>
      <c r="I1142" s="5" t="s">
        <v>796</v>
      </c>
      <c r="J1142" s="5" t="n">
        <v>4</v>
      </c>
      <c r="K1142" s="5" t="s">
        <v>1313</v>
      </c>
      <c r="L1142" s="6"/>
      <c r="M1142" s="6"/>
      <c r="N1142" s="6"/>
      <c r="O1142" s="6"/>
      <c r="P1142" s="5" t="str">
        <f aca="false">IF(M1142="","",ROUND(M1142*IFERROR(INDEX(Weights!$B$2:$B$4,MATCH(G1142,Weights!$A$2:$A$4,0)),0)*IFERROR(INDEX(Weights!$B$7:$B$11,MATCH(E1142,Weights!$A$7:$A$11,0)),0)*IFERROR(INDEX(Weights!$B$14:$B$17,MATCH(TEXT(J1142,"0"),Weights!$A$14:$A$17,0)),0)/(1+N(N1142)/50),1))</f>
        <v/>
      </c>
      <c r="Q1142" s="5" t="s">
        <v>122</v>
      </c>
    </row>
    <row r="1143" customFormat="false" ht="15" hidden="false" customHeight="false" outlineLevel="0" collapsed="false">
      <c r="A1143" s="5" t="n">
        <v>1142</v>
      </c>
      <c r="B1143" s="5" t="s">
        <v>1314</v>
      </c>
      <c r="C1143" s="5" t="s">
        <v>64</v>
      </c>
      <c r="D1143" s="5" t="s">
        <v>36</v>
      </c>
      <c r="E1143" s="5" t="s">
        <v>1291</v>
      </c>
      <c r="F1143" s="5" t="s">
        <v>1292</v>
      </c>
      <c r="G1143" s="5" t="s">
        <v>39</v>
      </c>
      <c r="H1143" s="5" t="s">
        <v>40</v>
      </c>
      <c r="I1143" s="5" t="s">
        <v>796</v>
      </c>
      <c r="J1143" s="5" t="n">
        <v>4</v>
      </c>
      <c r="K1143" s="5"/>
      <c r="L1143" s="6"/>
      <c r="M1143" s="6"/>
      <c r="N1143" s="6"/>
      <c r="O1143" s="6"/>
      <c r="P1143" s="5" t="str">
        <f aca="false">IF(M1143="","",ROUND(M1143*IFERROR(INDEX(Weights!$B$2:$B$4,MATCH(G1143,Weights!$A$2:$A$4,0)),0)*IFERROR(INDEX(Weights!$B$7:$B$11,MATCH(E1143,Weights!$A$7:$A$11,0)),0)*IFERROR(INDEX(Weights!$B$14:$B$17,MATCH(TEXT(J1143,"0"),Weights!$A$14:$A$17,0)),0)/(1+N(N1143)/50),1))</f>
        <v/>
      </c>
      <c r="Q1143" s="5" t="s">
        <v>42</v>
      </c>
    </row>
    <row r="1144" customFormat="false" ht="15" hidden="false" customHeight="false" outlineLevel="0" collapsed="false">
      <c r="A1144" s="5" t="n">
        <v>1143</v>
      </c>
      <c r="B1144" s="5" t="s">
        <v>1315</v>
      </c>
      <c r="C1144" s="5" t="s">
        <v>64</v>
      </c>
      <c r="D1144" s="5" t="s">
        <v>36</v>
      </c>
      <c r="E1144" s="5" t="s">
        <v>1291</v>
      </c>
      <c r="F1144" s="5" t="s">
        <v>1292</v>
      </c>
      <c r="G1144" s="5" t="s">
        <v>39</v>
      </c>
      <c r="H1144" s="5" t="s">
        <v>40</v>
      </c>
      <c r="I1144" s="5" t="s">
        <v>796</v>
      </c>
      <c r="J1144" s="5" t="n">
        <v>4</v>
      </c>
      <c r="K1144" s="5"/>
      <c r="L1144" s="6"/>
      <c r="M1144" s="6"/>
      <c r="N1144" s="6"/>
      <c r="O1144" s="6"/>
      <c r="P1144" s="5" t="str">
        <f aca="false">IF(M1144="","",ROUND(M1144*IFERROR(INDEX(Weights!$B$2:$B$4,MATCH(G1144,Weights!$A$2:$A$4,0)),0)*IFERROR(INDEX(Weights!$B$7:$B$11,MATCH(E1144,Weights!$A$7:$A$11,0)),0)*IFERROR(INDEX(Weights!$B$14:$B$17,MATCH(TEXT(J1144,"0"),Weights!$A$14:$A$17,0)),0)/(1+N(N1144)/50),1))</f>
        <v/>
      </c>
      <c r="Q1144" s="5" t="s">
        <v>42</v>
      </c>
    </row>
    <row r="1145" customFormat="false" ht="15" hidden="false" customHeight="false" outlineLevel="0" collapsed="false">
      <c r="A1145" s="5" t="n">
        <v>1144</v>
      </c>
      <c r="B1145" s="5" t="s">
        <v>1316</v>
      </c>
      <c r="C1145" s="5" t="s">
        <v>61</v>
      </c>
      <c r="D1145" s="5" t="s">
        <v>36</v>
      </c>
      <c r="E1145" s="5" t="s">
        <v>1291</v>
      </c>
      <c r="F1145" s="5" t="s">
        <v>1292</v>
      </c>
      <c r="G1145" s="5" t="s">
        <v>39</v>
      </c>
      <c r="H1145" s="5" t="s">
        <v>40</v>
      </c>
      <c r="I1145" s="5" t="s">
        <v>796</v>
      </c>
      <c r="J1145" s="5" t="n">
        <v>4</v>
      </c>
      <c r="K1145" s="5"/>
      <c r="L1145" s="6"/>
      <c r="M1145" s="6"/>
      <c r="N1145" s="6"/>
      <c r="O1145" s="6"/>
      <c r="P1145" s="5" t="str">
        <f aca="false">IF(M1145="","",ROUND(M1145*IFERROR(INDEX(Weights!$B$2:$B$4,MATCH(G1145,Weights!$A$2:$A$4,0)),0)*IFERROR(INDEX(Weights!$B$7:$B$11,MATCH(E1145,Weights!$A$7:$A$11,0)),0)*IFERROR(INDEX(Weights!$B$14:$B$17,MATCH(TEXT(J1145,"0"),Weights!$A$14:$A$17,0)),0)/(1+N(N1145)/50),1))</f>
        <v/>
      </c>
      <c r="Q1145" s="5" t="s">
        <v>42</v>
      </c>
    </row>
    <row r="1146" customFormat="false" ht="15" hidden="false" customHeight="false" outlineLevel="0" collapsed="false">
      <c r="A1146" s="5" t="n">
        <v>1145</v>
      </c>
      <c r="B1146" s="5" t="s">
        <v>1317</v>
      </c>
      <c r="C1146" s="5" t="s">
        <v>66</v>
      </c>
      <c r="D1146" s="5" t="s">
        <v>36</v>
      </c>
      <c r="E1146" s="5" t="s">
        <v>1291</v>
      </c>
      <c r="F1146" s="5" t="s">
        <v>1292</v>
      </c>
      <c r="G1146" s="5" t="s">
        <v>39</v>
      </c>
      <c r="H1146" s="5" t="s">
        <v>40</v>
      </c>
      <c r="I1146" s="5" t="s">
        <v>796</v>
      </c>
      <c r="J1146" s="5" t="n">
        <v>4</v>
      </c>
      <c r="K1146" s="5"/>
      <c r="L1146" s="6"/>
      <c r="M1146" s="6"/>
      <c r="N1146" s="6"/>
      <c r="O1146" s="6"/>
      <c r="P1146" s="5" t="str">
        <f aca="false">IF(M1146="","",ROUND(M1146*IFERROR(INDEX(Weights!$B$2:$B$4,MATCH(G1146,Weights!$A$2:$A$4,0)),0)*IFERROR(INDEX(Weights!$B$7:$B$11,MATCH(E1146,Weights!$A$7:$A$11,0)),0)*IFERROR(INDEX(Weights!$B$14:$B$17,MATCH(TEXT(J1146,"0"),Weights!$A$14:$A$17,0)),0)/(1+N(N1146)/50),1))</f>
        <v/>
      </c>
      <c r="Q1146" s="5" t="s">
        <v>42</v>
      </c>
    </row>
    <row r="1147" customFormat="false" ht="15" hidden="false" customHeight="false" outlineLevel="0" collapsed="false">
      <c r="A1147" s="5" t="n">
        <v>1146</v>
      </c>
      <c r="B1147" s="5" t="s">
        <v>1318</v>
      </c>
      <c r="C1147" s="5" t="s">
        <v>69</v>
      </c>
      <c r="D1147" s="5" t="s">
        <v>36</v>
      </c>
      <c r="E1147" s="5" t="s">
        <v>1291</v>
      </c>
      <c r="F1147" s="5" t="s">
        <v>1292</v>
      </c>
      <c r="G1147" s="5" t="s">
        <v>39</v>
      </c>
      <c r="H1147" s="5" t="s">
        <v>40</v>
      </c>
      <c r="I1147" s="5" t="s">
        <v>796</v>
      </c>
      <c r="J1147" s="5" t="n">
        <v>4</v>
      </c>
      <c r="K1147" s="5"/>
      <c r="L1147" s="6"/>
      <c r="M1147" s="6"/>
      <c r="N1147" s="6"/>
      <c r="O1147" s="6"/>
      <c r="P1147" s="5" t="str">
        <f aca="false">IF(M1147="","",ROUND(M1147*IFERROR(INDEX(Weights!$B$2:$B$4,MATCH(G1147,Weights!$A$2:$A$4,0)),0)*IFERROR(INDEX(Weights!$B$7:$B$11,MATCH(E1147,Weights!$A$7:$A$11,0)),0)*IFERROR(INDEX(Weights!$B$14:$B$17,MATCH(TEXT(J1147,"0"),Weights!$A$14:$A$17,0)),0)/(1+N(N1147)/50),1))</f>
        <v/>
      </c>
      <c r="Q1147" s="5" t="s">
        <v>42</v>
      </c>
    </row>
    <row r="1148" customFormat="false" ht="15" hidden="false" customHeight="false" outlineLevel="0" collapsed="false">
      <c r="A1148" s="5" t="n">
        <v>1147</v>
      </c>
      <c r="B1148" s="5" t="s">
        <v>1319</v>
      </c>
      <c r="C1148" s="5" t="s">
        <v>35</v>
      </c>
      <c r="D1148" s="5" t="s">
        <v>36</v>
      </c>
      <c r="E1148" s="5" t="s">
        <v>1291</v>
      </c>
      <c r="F1148" s="5" t="s">
        <v>1320</v>
      </c>
      <c r="G1148" s="5" t="s">
        <v>39</v>
      </c>
      <c r="H1148" s="5" t="s">
        <v>40</v>
      </c>
      <c r="I1148" s="5" t="s">
        <v>796</v>
      </c>
      <c r="J1148" s="5" t="n">
        <v>4</v>
      </c>
      <c r="K1148" s="5"/>
      <c r="L1148" s="6"/>
      <c r="M1148" s="6"/>
      <c r="N1148" s="6"/>
      <c r="O1148" s="6"/>
      <c r="P1148" s="5" t="str">
        <f aca="false">IF(M1148="","",ROUND(M1148*IFERROR(INDEX(Weights!$B$2:$B$4,MATCH(G1148,Weights!$A$2:$A$4,0)),0)*IFERROR(INDEX(Weights!$B$7:$B$11,MATCH(E1148,Weights!$A$7:$A$11,0)),0)*IFERROR(INDEX(Weights!$B$14:$B$17,MATCH(TEXT(J1148,"0"),Weights!$A$14:$A$17,0)),0)/(1+N(N1148)/50),1))</f>
        <v/>
      </c>
      <c r="Q1148" s="5" t="s">
        <v>42</v>
      </c>
    </row>
    <row r="1149" customFormat="false" ht="15" hidden="false" customHeight="false" outlineLevel="0" collapsed="false">
      <c r="A1149" s="5" t="n">
        <v>1148</v>
      </c>
      <c r="B1149" s="5" t="s">
        <v>1321</v>
      </c>
      <c r="C1149" s="5" t="s">
        <v>35</v>
      </c>
      <c r="D1149" s="5" t="s">
        <v>36</v>
      </c>
      <c r="E1149" s="5" t="s">
        <v>1291</v>
      </c>
      <c r="F1149" s="5" t="s">
        <v>1320</v>
      </c>
      <c r="G1149" s="5" t="s">
        <v>39</v>
      </c>
      <c r="H1149" s="5" t="s">
        <v>40</v>
      </c>
      <c r="I1149" s="5" t="s">
        <v>796</v>
      </c>
      <c r="J1149" s="5" t="n">
        <v>4</v>
      </c>
      <c r="K1149" s="5"/>
      <c r="L1149" s="6"/>
      <c r="M1149" s="6"/>
      <c r="N1149" s="6"/>
      <c r="O1149" s="6"/>
      <c r="P1149" s="5" t="str">
        <f aca="false">IF(M1149="","",ROUND(M1149*IFERROR(INDEX(Weights!$B$2:$B$4,MATCH(G1149,Weights!$A$2:$A$4,0)),0)*IFERROR(INDEX(Weights!$B$7:$B$11,MATCH(E1149,Weights!$A$7:$A$11,0)),0)*IFERROR(INDEX(Weights!$B$14:$B$17,MATCH(TEXT(J1149,"0"),Weights!$A$14:$A$17,0)),0)/(1+N(N1149)/50),1))</f>
        <v/>
      </c>
      <c r="Q1149" s="5" t="s">
        <v>42</v>
      </c>
    </row>
    <row r="1150" customFormat="false" ht="15" hidden="false" customHeight="false" outlineLevel="0" collapsed="false">
      <c r="A1150" s="5" t="n">
        <v>1149</v>
      </c>
      <c r="B1150" s="5" t="s">
        <v>1322</v>
      </c>
      <c r="C1150" s="5" t="s">
        <v>35</v>
      </c>
      <c r="D1150" s="5" t="s">
        <v>36</v>
      </c>
      <c r="E1150" s="5" t="s">
        <v>1291</v>
      </c>
      <c r="F1150" s="5" t="s">
        <v>1320</v>
      </c>
      <c r="G1150" s="5" t="s">
        <v>39</v>
      </c>
      <c r="H1150" s="5" t="s">
        <v>40</v>
      </c>
      <c r="I1150" s="5" t="s">
        <v>796</v>
      </c>
      <c r="J1150" s="5" t="n">
        <v>4</v>
      </c>
      <c r="K1150" s="5"/>
      <c r="L1150" s="6"/>
      <c r="M1150" s="6"/>
      <c r="N1150" s="6"/>
      <c r="O1150" s="6"/>
      <c r="P1150" s="5" t="str">
        <f aca="false">IF(M1150="","",ROUND(M1150*IFERROR(INDEX(Weights!$B$2:$B$4,MATCH(G1150,Weights!$A$2:$A$4,0)),0)*IFERROR(INDEX(Weights!$B$7:$B$11,MATCH(E1150,Weights!$A$7:$A$11,0)),0)*IFERROR(INDEX(Weights!$B$14:$B$17,MATCH(TEXT(J1150,"0"),Weights!$A$14:$A$17,0)),0)/(1+N(N1150)/50),1))</f>
        <v/>
      </c>
      <c r="Q1150" s="5" t="s">
        <v>42</v>
      </c>
    </row>
    <row r="1151" customFormat="false" ht="15" hidden="false" customHeight="false" outlineLevel="0" collapsed="false">
      <c r="A1151" s="5" t="n">
        <v>1150</v>
      </c>
      <c r="B1151" s="5" t="s">
        <v>1323</v>
      </c>
      <c r="C1151" s="5" t="s">
        <v>47</v>
      </c>
      <c r="D1151" s="5" t="s">
        <v>36</v>
      </c>
      <c r="E1151" s="5" t="s">
        <v>1291</v>
      </c>
      <c r="F1151" s="5" t="s">
        <v>1320</v>
      </c>
      <c r="G1151" s="5" t="s">
        <v>39</v>
      </c>
      <c r="H1151" s="5" t="s">
        <v>40</v>
      </c>
      <c r="I1151" s="5" t="s">
        <v>796</v>
      </c>
      <c r="J1151" s="5" t="n">
        <v>4</v>
      </c>
      <c r="K1151" s="5"/>
      <c r="L1151" s="6"/>
      <c r="M1151" s="6"/>
      <c r="N1151" s="6"/>
      <c r="O1151" s="6"/>
      <c r="P1151" s="5" t="str">
        <f aca="false">IF(M1151="","",ROUND(M1151*IFERROR(INDEX(Weights!$B$2:$B$4,MATCH(G1151,Weights!$A$2:$A$4,0)),0)*IFERROR(INDEX(Weights!$B$7:$B$11,MATCH(E1151,Weights!$A$7:$A$11,0)),0)*IFERROR(INDEX(Weights!$B$14:$B$17,MATCH(TEXT(J1151,"0"),Weights!$A$14:$A$17,0)),0)/(1+N(N1151)/50),1))</f>
        <v/>
      </c>
      <c r="Q1151" s="5" t="s">
        <v>42</v>
      </c>
    </row>
    <row r="1152" customFormat="false" ht="15" hidden="false" customHeight="false" outlineLevel="0" collapsed="false">
      <c r="A1152" s="5" t="n">
        <v>1151</v>
      </c>
      <c r="B1152" s="5" t="s">
        <v>1324</v>
      </c>
      <c r="C1152" s="5" t="s">
        <v>47</v>
      </c>
      <c r="D1152" s="5" t="s">
        <v>36</v>
      </c>
      <c r="E1152" s="5" t="s">
        <v>1291</v>
      </c>
      <c r="F1152" s="5" t="s">
        <v>1320</v>
      </c>
      <c r="G1152" s="5" t="s">
        <v>39</v>
      </c>
      <c r="H1152" s="5" t="s">
        <v>40</v>
      </c>
      <c r="I1152" s="5" t="s">
        <v>796</v>
      </c>
      <c r="J1152" s="5" t="n">
        <v>4</v>
      </c>
      <c r="K1152" s="5"/>
      <c r="L1152" s="6"/>
      <c r="M1152" s="6"/>
      <c r="N1152" s="6"/>
      <c r="O1152" s="6"/>
      <c r="P1152" s="5" t="str">
        <f aca="false">IF(M1152="","",ROUND(M1152*IFERROR(INDEX(Weights!$B$2:$B$4,MATCH(G1152,Weights!$A$2:$A$4,0)),0)*IFERROR(INDEX(Weights!$B$7:$B$11,MATCH(E1152,Weights!$A$7:$A$11,0)),0)*IFERROR(INDEX(Weights!$B$14:$B$17,MATCH(TEXT(J1152,"0"),Weights!$A$14:$A$17,0)),0)/(1+N(N1152)/50),1))</f>
        <v/>
      </c>
      <c r="Q1152" s="5" t="s">
        <v>42</v>
      </c>
    </row>
    <row r="1153" customFormat="false" ht="15" hidden="false" customHeight="false" outlineLevel="0" collapsed="false">
      <c r="A1153" s="5" t="n">
        <v>1152</v>
      </c>
      <c r="B1153" s="5" t="s">
        <v>1325</v>
      </c>
      <c r="C1153" s="5" t="s">
        <v>47</v>
      </c>
      <c r="D1153" s="5" t="s">
        <v>36</v>
      </c>
      <c r="E1153" s="5" t="s">
        <v>1291</v>
      </c>
      <c r="F1153" s="5" t="s">
        <v>1320</v>
      </c>
      <c r="G1153" s="5" t="s">
        <v>39</v>
      </c>
      <c r="H1153" s="5" t="s">
        <v>40</v>
      </c>
      <c r="I1153" s="5" t="s">
        <v>796</v>
      </c>
      <c r="J1153" s="5" t="n">
        <v>4</v>
      </c>
      <c r="K1153" s="5"/>
      <c r="L1153" s="6"/>
      <c r="M1153" s="6"/>
      <c r="N1153" s="6"/>
      <c r="O1153" s="6"/>
      <c r="P1153" s="5" t="str">
        <f aca="false">IF(M1153="","",ROUND(M1153*IFERROR(INDEX(Weights!$B$2:$B$4,MATCH(G1153,Weights!$A$2:$A$4,0)),0)*IFERROR(INDEX(Weights!$B$7:$B$11,MATCH(E1153,Weights!$A$7:$A$11,0)),0)*IFERROR(INDEX(Weights!$B$14:$B$17,MATCH(TEXT(J1153,"0"),Weights!$A$14:$A$17,0)),0)/(1+N(N1153)/50),1))</f>
        <v/>
      </c>
      <c r="Q1153" s="5" t="s">
        <v>42</v>
      </c>
    </row>
    <row r="1154" customFormat="false" ht="15" hidden="false" customHeight="false" outlineLevel="0" collapsed="false">
      <c r="A1154" s="5" t="n">
        <v>1153</v>
      </c>
      <c r="B1154" s="5" t="s">
        <v>1326</v>
      </c>
      <c r="C1154" s="5" t="s">
        <v>47</v>
      </c>
      <c r="D1154" s="5" t="s">
        <v>36</v>
      </c>
      <c r="E1154" s="5" t="s">
        <v>1291</v>
      </c>
      <c r="F1154" s="5" t="s">
        <v>1320</v>
      </c>
      <c r="G1154" s="5" t="s">
        <v>39</v>
      </c>
      <c r="H1154" s="5" t="s">
        <v>40</v>
      </c>
      <c r="I1154" s="5" t="s">
        <v>796</v>
      </c>
      <c r="J1154" s="5" t="n">
        <v>4</v>
      </c>
      <c r="K1154" s="5"/>
      <c r="L1154" s="6"/>
      <c r="M1154" s="6"/>
      <c r="N1154" s="6"/>
      <c r="O1154" s="6"/>
      <c r="P1154" s="5" t="str">
        <f aca="false">IF(M1154="","",ROUND(M1154*IFERROR(INDEX(Weights!$B$2:$B$4,MATCH(G1154,Weights!$A$2:$A$4,0)),0)*IFERROR(INDEX(Weights!$B$7:$B$11,MATCH(E1154,Weights!$A$7:$A$11,0)),0)*IFERROR(INDEX(Weights!$B$14:$B$17,MATCH(TEXT(J1154,"0"),Weights!$A$14:$A$17,0)),0)/(1+N(N1154)/50),1))</f>
        <v/>
      </c>
      <c r="Q1154" s="5" t="s">
        <v>42</v>
      </c>
    </row>
    <row r="1155" customFormat="false" ht="15" hidden="false" customHeight="false" outlineLevel="0" collapsed="false">
      <c r="A1155" s="5" t="n">
        <v>1154</v>
      </c>
      <c r="B1155" s="5" t="s">
        <v>1327</v>
      </c>
      <c r="C1155" s="5" t="s">
        <v>51</v>
      </c>
      <c r="D1155" s="5" t="s">
        <v>36</v>
      </c>
      <c r="E1155" s="5" t="s">
        <v>1291</v>
      </c>
      <c r="F1155" s="5" t="s">
        <v>1320</v>
      </c>
      <c r="G1155" s="5" t="s">
        <v>39</v>
      </c>
      <c r="H1155" s="5" t="s">
        <v>40</v>
      </c>
      <c r="I1155" s="5" t="s">
        <v>796</v>
      </c>
      <c r="J1155" s="5" t="n">
        <v>4</v>
      </c>
      <c r="K1155" s="5"/>
      <c r="L1155" s="6"/>
      <c r="M1155" s="6"/>
      <c r="N1155" s="6"/>
      <c r="O1155" s="6"/>
      <c r="P1155" s="5" t="str">
        <f aca="false">IF(M1155="","",ROUND(M1155*IFERROR(INDEX(Weights!$B$2:$B$4,MATCH(G1155,Weights!$A$2:$A$4,0)),0)*IFERROR(INDEX(Weights!$B$7:$B$11,MATCH(E1155,Weights!$A$7:$A$11,0)),0)*IFERROR(INDEX(Weights!$B$14:$B$17,MATCH(TEXT(J1155,"0"),Weights!$A$14:$A$17,0)),0)/(1+N(N1155)/50),1))</f>
        <v/>
      </c>
      <c r="Q1155" s="5" t="s">
        <v>42</v>
      </c>
    </row>
    <row r="1156" customFormat="false" ht="15" hidden="false" customHeight="false" outlineLevel="0" collapsed="false">
      <c r="A1156" s="5" t="n">
        <v>1155</v>
      </c>
      <c r="B1156" s="5" t="s">
        <v>1328</v>
      </c>
      <c r="C1156" s="5" t="s">
        <v>51</v>
      </c>
      <c r="D1156" s="5" t="s">
        <v>36</v>
      </c>
      <c r="E1156" s="5" t="s">
        <v>1291</v>
      </c>
      <c r="F1156" s="5" t="s">
        <v>1320</v>
      </c>
      <c r="G1156" s="5" t="s">
        <v>39</v>
      </c>
      <c r="H1156" s="5" t="s">
        <v>40</v>
      </c>
      <c r="I1156" s="5" t="s">
        <v>796</v>
      </c>
      <c r="J1156" s="5" t="n">
        <v>4</v>
      </c>
      <c r="K1156" s="5"/>
      <c r="L1156" s="6"/>
      <c r="M1156" s="6"/>
      <c r="N1156" s="6"/>
      <c r="O1156" s="6"/>
      <c r="P1156" s="5" t="str">
        <f aca="false">IF(M1156="","",ROUND(M1156*IFERROR(INDEX(Weights!$B$2:$B$4,MATCH(G1156,Weights!$A$2:$A$4,0)),0)*IFERROR(INDEX(Weights!$B$7:$B$11,MATCH(E1156,Weights!$A$7:$A$11,0)),0)*IFERROR(INDEX(Weights!$B$14:$B$17,MATCH(TEXT(J1156,"0"),Weights!$A$14:$A$17,0)),0)/(1+N(N1156)/50),1))</f>
        <v/>
      </c>
      <c r="Q1156" s="5" t="s">
        <v>42</v>
      </c>
    </row>
    <row r="1157" customFormat="false" ht="15" hidden="false" customHeight="false" outlineLevel="0" collapsed="false">
      <c r="A1157" s="5" t="n">
        <v>1156</v>
      </c>
      <c r="B1157" s="5" t="s">
        <v>1329</v>
      </c>
      <c r="C1157" s="5" t="s">
        <v>51</v>
      </c>
      <c r="D1157" s="5" t="s">
        <v>36</v>
      </c>
      <c r="E1157" s="5" t="s">
        <v>1291</v>
      </c>
      <c r="F1157" s="5" t="s">
        <v>1320</v>
      </c>
      <c r="G1157" s="5" t="s">
        <v>39</v>
      </c>
      <c r="H1157" s="5" t="s">
        <v>40</v>
      </c>
      <c r="I1157" s="5" t="s">
        <v>796</v>
      </c>
      <c r="J1157" s="5" t="n">
        <v>4</v>
      </c>
      <c r="K1157" s="5"/>
      <c r="L1157" s="6"/>
      <c r="M1157" s="6"/>
      <c r="N1157" s="6"/>
      <c r="O1157" s="6"/>
      <c r="P1157" s="5" t="str">
        <f aca="false">IF(M1157="","",ROUND(M1157*IFERROR(INDEX(Weights!$B$2:$B$4,MATCH(G1157,Weights!$A$2:$A$4,0)),0)*IFERROR(INDEX(Weights!$B$7:$B$11,MATCH(E1157,Weights!$A$7:$A$11,0)),0)*IFERROR(INDEX(Weights!$B$14:$B$17,MATCH(TEXT(J1157,"0"),Weights!$A$14:$A$17,0)),0)/(1+N(N1157)/50),1))</f>
        <v/>
      </c>
      <c r="Q1157" s="5" t="s">
        <v>42</v>
      </c>
    </row>
    <row r="1158" customFormat="false" ht="15" hidden="false" customHeight="false" outlineLevel="0" collapsed="false">
      <c r="A1158" s="5" t="n">
        <v>1157</v>
      </c>
      <c r="B1158" s="5" t="s">
        <v>1330</v>
      </c>
      <c r="C1158" s="5" t="s">
        <v>54</v>
      </c>
      <c r="D1158" s="5" t="s">
        <v>36</v>
      </c>
      <c r="E1158" s="5" t="s">
        <v>1291</v>
      </c>
      <c r="F1158" s="5" t="s">
        <v>1320</v>
      </c>
      <c r="G1158" s="5" t="s">
        <v>39</v>
      </c>
      <c r="H1158" s="5" t="s">
        <v>40</v>
      </c>
      <c r="I1158" s="5" t="s">
        <v>796</v>
      </c>
      <c r="J1158" s="5" t="n">
        <v>4</v>
      </c>
      <c r="K1158" s="5"/>
      <c r="L1158" s="6"/>
      <c r="M1158" s="6"/>
      <c r="N1158" s="6"/>
      <c r="O1158" s="6"/>
      <c r="P1158" s="5" t="str">
        <f aca="false">IF(M1158="","",ROUND(M1158*IFERROR(INDEX(Weights!$B$2:$B$4,MATCH(G1158,Weights!$A$2:$A$4,0)),0)*IFERROR(INDEX(Weights!$B$7:$B$11,MATCH(E1158,Weights!$A$7:$A$11,0)),0)*IFERROR(INDEX(Weights!$B$14:$B$17,MATCH(TEXT(J1158,"0"),Weights!$A$14:$A$17,0)),0)/(1+N(N1158)/50),1))</f>
        <v/>
      </c>
      <c r="Q1158" s="5" t="s">
        <v>42</v>
      </c>
    </row>
    <row r="1159" customFormat="false" ht="15" hidden="false" customHeight="false" outlineLevel="0" collapsed="false">
      <c r="A1159" s="5" t="n">
        <v>1158</v>
      </c>
      <c r="B1159" s="5" t="s">
        <v>1331</v>
      </c>
      <c r="C1159" s="5" t="s">
        <v>54</v>
      </c>
      <c r="D1159" s="5" t="s">
        <v>36</v>
      </c>
      <c r="E1159" s="5" t="s">
        <v>1291</v>
      </c>
      <c r="F1159" s="5" t="s">
        <v>1320</v>
      </c>
      <c r="G1159" s="5" t="s">
        <v>39</v>
      </c>
      <c r="H1159" s="5" t="s">
        <v>40</v>
      </c>
      <c r="I1159" s="5" t="s">
        <v>796</v>
      </c>
      <c r="J1159" s="5" t="n">
        <v>4</v>
      </c>
      <c r="K1159" s="5"/>
      <c r="L1159" s="6"/>
      <c r="M1159" s="6"/>
      <c r="N1159" s="6"/>
      <c r="O1159" s="6"/>
      <c r="P1159" s="5" t="str">
        <f aca="false">IF(M1159="","",ROUND(M1159*IFERROR(INDEX(Weights!$B$2:$B$4,MATCH(G1159,Weights!$A$2:$A$4,0)),0)*IFERROR(INDEX(Weights!$B$7:$B$11,MATCH(E1159,Weights!$A$7:$A$11,0)),0)*IFERROR(INDEX(Weights!$B$14:$B$17,MATCH(TEXT(J1159,"0"),Weights!$A$14:$A$17,0)),0)/(1+N(N1159)/50),1))</f>
        <v/>
      </c>
      <c r="Q1159" s="5" t="s">
        <v>42</v>
      </c>
    </row>
    <row r="1160" customFormat="false" ht="15" hidden="false" customHeight="false" outlineLevel="0" collapsed="false">
      <c r="A1160" s="5" t="n">
        <v>1159</v>
      </c>
      <c r="B1160" s="5" t="s">
        <v>1332</v>
      </c>
      <c r="C1160" s="5" t="s">
        <v>57</v>
      </c>
      <c r="D1160" s="5" t="s">
        <v>36</v>
      </c>
      <c r="E1160" s="5" t="s">
        <v>1291</v>
      </c>
      <c r="F1160" s="5" t="s">
        <v>1320</v>
      </c>
      <c r="G1160" s="5" t="s">
        <v>39</v>
      </c>
      <c r="H1160" s="5" t="s">
        <v>40</v>
      </c>
      <c r="I1160" s="5" t="s">
        <v>796</v>
      </c>
      <c r="J1160" s="5" t="n">
        <v>4</v>
      </c>
      <c r="K1160" s="5"/>
      <c r="L1160" s="6"/>
      <c r="M1160" s="6"/>
      <c r="N1160" s="6"/>
      <c r="O1160" s="6"/>
      <c r="P1160" s="5" t="str">
        <f aca="false">IF(M1160="","",ROUND(M1160*IFERROR(INDEX(Weights!$B$2:$B$4,MATCH(G1160,Weights!$A$2:$A$4,0)),0)*IFERROR(INDEX(Weights!$B$7:$B$11,MATCH(E1160,Weights!$A$7:$A$11,0)),0)*IFERROR(INDEX(Weights!$B$14:$B$17,MATCH(TEXT(J1160,"0"),Weights!$A$14:$A$17,0)),0)/(1+N(N1160)/50),1))</f>
        <v/>
      </c>
      <c r="Q1160" s="5" t="s">
        <v>42</v>
      </c>
    </row>
    <row r="1161" customFormat="false" ht="15" hidden="false" customHeight="false" outlineLevel="0" collapsed="false">
      <c r="A1161" s="5" t="n">
        <v>1160</v>
      </c>
      <c r="B1161" s="5" t="s">
        <v>1333</v>
      </c>
      <c r="C1161" s="5" t="s">
        <v>57</v>
      </c>
      <c r="D1161" s="5" t="s">
        <v>36</v>
      </c>
      <c r="E1161" s="5" t="s">
        <v>1291</v>
      </c>
      <c r="F1161" s="5" t="s">
        <v>1320</v>
      </c>
      <c r="G1161" s="5" t="s">
        <v>39</v>
      </c>
      <c r="H1161" s="5" t="s">
        <v>40</v>
      </c>
      <c r="I1161" s="5" t="s">
        <v>796</v>
      </c>
      <c r="J1161" s="5" t="n">
        <v>4</v>
      </c>
      <c r="K1161" s="5"/>
      <c r="L1161" s="6"/>
      <c r="M1161" s="6"/>
      <c r="N1161" s="6"/>
      <c r="O1161" s="6"/>
      <c r="P1161" s="5" t="str">
        <f aca="false">IF(M1161="","",ROUND(M1161*IFERROR(INDEX(Weights!$B$2:$B$4,MATCH(G1161,Weights!$A$2:$A$4,0)),0)*IFERROR(INDEX(Weights!$B$7:$B$11,MATCH(E1161,Weights!$A$7:$A$11,0)),0)*IFERROR(INDEX(Weights!$B$14:$B$17,MATCH(TEXT(J1161,"0"),Weights!$A$14:$A$17,0)),0)/(1+N(N1161)/50),1))</f>
        <v/>
      </c>
      <c r="Q1161" s="5" t="s">
        <v>42</v>
      </c>
    </row>
    <row r="1162" customFormat="false" ht="15" hidden="false" customHeight="false" outlineLevel="0" collapsed="false">
      <c r="A1162" s="5" t="n">
        <v>1161</v>
      </c>
      <c r="B1162" s="5" t="s">
        <v>1334</v>
      </c>
      <c r="C1162" s="5" t="s">
        <v>57</v>
      </c>
      <c r="D1162" s="5" t="s">
        <v>36</v>
      </c>
      <c r="E1162" s="5" t="s">
        <v>1291</v>
      </c>
      <c r="F1162" s="5" t="s">
        <v>1320</v>
      </c>
      <c r="G1162" s="5" t="s">
        <v>39</v>
      </c>
      <c r="H1162" s="5" t="s">
        <v>40</v>
      </c>
      <c r="I1162" s="5" t="s">
        <v>796</v>
      </c>
      <c r="J1162" s="5" t="n">
        <v>4</v>
      </c>
      <c r="K1162" s="5"/>
      <c r="L1162" s="6"/>
      <c r="M1162" s="6"/>
      <c r="N1162" s="6"/>
      <c r="O1162" s="6"/>
      <c r="P1162" s="5" t="str">
        <f aca="false">IF(M1162="","",ROUND(M1162*IFERROR(INDEX(Weights!$B$2:$B$4,MATCH(G1162,Weights!$A$2:$A$4,0)),0)*IFERROR(INDEX(Weights!$B$7:$B$11,MATCH(E1162,Weights!$A$7:$A$11,0)),0)*IFERROR(INDEX(Weights!$B$14:$B$17,MATCH(TEXT(J1162,"0"),Weights!$A$14:$A$17,0)),0)/(1+N(N1162)/50),1))</f>
        <v/>
      </c>
      <c r="Q1162" s="5" t="s">
        <v>42</v>
      </c>
    </row>
    <row r="1163" customFormat="false" ht="15" hidden="false" customHeight="false" outlineLevel="0" collapsed="false">
      <c r="A1163" s="5" t="n">
        <v>1162</v>
      </c>
      <c r="B1163" s="5" t="s">
        <v>1335</v>
      </c>
      <c r="C1163" s="5" t="s">
        <v>464</v>
      </c>
      <c r="D1163" s="5" t="s">
        <v>36</v>
      </c>
      <c r="E1163" s="5" t="s">
        <v>1291</v>
      </c>
      <c r="F1163" s="5" t="s">
        <v>1320</v>
      </c>
      <c r="G1163" s="5" t="s">
        <v>39</v>
      </c>
      <c r="H1163" s="5" t="s">
        <v>40</v>
      </c>
      <c r="I1163" s="5" t="s">
        <v>796</v>
      </c>
      <c r="J1163" s="5" t="n">
        <v>4</v>
      </c>
      <c r="K1163" s="5"/>
      <c r="L1163" s="6"/>
      <c r="M1163" s="6"/>
      <c r="N1163" s="6"/>
      <c r="O1163" s="6"/>
      <c r="P1163" s="5" t="str">
        <f aca="false">IF(M1163="","",ROUND(M1163*IFERROR(INDEX(Weights!$B$2:$B$4,MATCH(G1163,Weights!$A$2:$A$4,0)),0)*IFERROR(INDEX(Weights!$B$7:$B$11,MATCH(E1163,Weights!$A$7:$A$11,0)),0)*IFERROR(INDEX(Weights!$B$14:$B$17,MATCH(TEXT(J1163,"0"),Weights!$A$14:$A$17,0)),0)/(1+N(N1163)/50),1))</f>
        <v/>
      </c>
      <c r="Q1163" s="5" t="s">
        <v>42</v>
      </c>
    </row>
    <row r="1164" customFormat="false" ht="15" hidden="false" customHeight="false" outlineLevel="0" collapsed="false">
      <c r="A1164" s="5" t="n">
        <v>1163</v>
      </c>
      <c r="B1164" s="5" t="s">
        <v>1336</v>
      </c>
      <c r="C1164" s="5" t="s">
        <v>464</v>
      </c>
      <c r="D1164" s="5" t="s">
        <v>36</v>
      </c>
      <c r="E1164" s="5" t="s">
        <v>1291</v>
      </c>
      <c r="F1164" s="5" t="s">
        <v>1320</v>
      </c>
      <c r="G1164" s="5" t="s">
        <v>39</v>
      </c>
      <c r="H1164" s="5" t="s">
        <v>40</v>
      </c>
      <c r="I1164" s="5" t="s">
        <v>796</v>
      </c>
      <c r="J1164" s="5" t="n">
        <v>4</v>
      </c>
      <c r="K1164" s="5"/>
      <c r="L1164" s="6"/>
      <c r="M1164" s="6"/>
      <c r="N1164" s="6"/>
      <c r="O1164" s="6"/>
      <c r="P1164" s="5" t="str">
        <f aca="false">IF(M1164="","",ROUND(M1164*IFERROR(INDEX(Weights!$B$2:$B$4,MATCH(G1164,Weights!$A$2:$A$4,0)),0)*IFERROR(INDEX(Weights!$B$7:$B$11,MATCH(E1164,Weights!$A$7:$A$11,0)),0)*IFERROR(INDEX(Weights!$B$14:$B$17,MATCH(TEXT(J1164,"0"),Weights!$A$14:$A$17,0)),0)/(1+N(N1164)/50),1))</f>
        <v/>
      </c>
      <c r="Q1164" s="5" t="s">
        <v>42</v>
      </c>
    </row>
    <row r="1165" customFormat="false" ht="15" hidden="false" customHeight="false" outlineLevel="0" collapsed="false">
      <c r="A1165" s="5" t="n">
        <v>1164</v>
      </c>
      <c r="B1165" s="5" t="s">
        <v>1337</v>
      </c>
      <c r="C1165" s="5" t="s">
        <v>464</v>
      </c>
      <c r="D1165" s="5" t="s">
        <v>36</v>
      </c>
      <c r="E1165" s="5" t="s">
        <v>1291</v>
      </c>
      <c r="F1165" s="5" t="s">
        <v>1320</v>
      </c>
      <c r="G1165" s="5" t="s">
        <v>39</v>
      </c>
      <c r="H1165" s="5" t="s">
        <v>40</v>
      </c>
      <c r="I1165" s="5" t="s">
        <v>796</v>
      </c>
      <c r="J1165" s="5" t="n">
        <v>4</v>
      </c>
      <c r="K1165" s="5"/>
      <c r="L1165" s="6"/>
      <c r="M1165" s="6"/>
      <c r="N1165" s="6"/>
      <c r="O1165" s="6"/>
      <c r="P1165" s="5" t="str">
        <f aca="false">IF(M1165="","",ROUND(M1165*IFERROR(INDEX(Weights!$B$2:$B$4,MATCH(G1165,Weights!$A$2:$A$4,0)),0)*IFERROR(INDEX(Weights!$B$7:$B$11,MATCH(E1165,Weights!$A$7:$A$11,0)),0)*IFERROR(INDEX(Weights!$B$14:$B$17,MATCH(TEXT(J1165,"0"),Weights!$A$14:$A$17,0)),0)/(1+N(N1165)/50),1))</f>
        <v/>
      </c>
      <c r="Q1165" s="5" t="s">
        <v>42</v>
      </c>
    </row>
    <row r="1166" customFormat="false" ht="15" hidden="false" customHeight="false" outlineLevel="0" collapsed="false">
      <c r="A1166" s="5" t="n">
        <v>1165</v>
      </c>
      <c r="B1166" s="5" t="s">
        <v>1338</v>
      </c>
      <c r="C1166" s="5" t="s">
        <v>456</v>
      </c>
      <c r="D1166" s="5" t="s">
        <v>36</v>
      </c>
      <c r="E1166" s="5" t="s">
        <v>1291</v>
      </c>
      <c r="F1166" s="5" t="s">
        <v>1320</v>
      </c>
      <c r="G1166" s="5" t="s">
        <v>39</v>
      </c>
      <c r="H1166" s="5" t="s">
        <v>40</v>
      </c>
      <c r="I1166" s="5" t="s">
        <v>796</v>
      </c>
      <c r="J1166" s="5" t="n">
        <v>4</v>
      </c>
      <c r="K1166" s="5"/>
      <c r="L1166" s="6"/>
      <c r="M1166" s="6"/>
      <c r="N1166" s="6"/>
      <c r="O1166" s="6"/>
      <c r="P1166" s="5" t="str">
        <f aca="false">IF(M1166="","",ROUND(M1166*IFERROR(INDEX(Weights!$B$2:$B$4,MATCH(G1166,Weights!$A$2:$A$4,0)),0)*IFERROR(INDEX(Weights!$B$7:$B$11,MATCH(E1166,Weights!$A$7:$A$11,0)),0)*IFERROR(INDEX(Weights!$B$14:$B$17,MATCH(TEXT(J1166,"0"),Weights!$A$14:$A$17,0)),0)/(1+N(N1166)/50),1))</f>
        <v/>
      </c>
      <c r="Q1166" s="5" t="s">
        <v>42</v>
      </c>
    </row>
    <row r="1167" customFormat="false" ht="15" hidden="false" customHeight="false" outlineLevel="0" collapsed="false">
      <c r="A1167" s="5" t="n">
        <v>1166</v>
      </c>
      <c r="B1167" s="5" t="s">
        <v>1339</v>
      </c>
      <c r="C1167" s="5" t="s">
        <v>456</v>
      </c>
      <c r="D1167" s="5" t="s">
        <v>36</v>
      </c>
      <c r="E1167" s="5" t="s">
        <v>1291</v>
      </c>
      <c r="F1167" s="5" t="s">
        <v>1320</v>
      </c>
      <c r="G1167" s="5" t="s">
        <v>39</v>
      </c>
      <c r="H1167" s="5" t="s">
        <v>40</v>
      </c>
      <c r="I1167" s="5" t="s">
        <v>796</v>
      </c>
      <c r="J1167" s="5" t="n">
        <v>4</v>
      </c>
      <c r="K1167" s="5"/>
      <c r="L1167" s="6"/>
      <c r="M1167" s="6"/>
      <c r="N1167" s="6"/>
      <c r="O1167" s="6"/>
      <c r="P1167" s="5" t="str">
        <f aca="false">IF(M1167="","",ROUND(M1167*IFERROR(INDEX(Weights!$B$2:$B$4,MATCH(G1167,Weights!$A$2:$A$4,0)),0)*IFERROR(INDEX(Weights!$B$7:$B$11,MATCH(E1167,Weights!$A$7:$A$11,0)),0)*IFERROR(INDEX(Weights!$B$14:$B$17,MATCH(TEXT(J1167,"0"),Weights!$A$14:$A$17,0)),0)/(1+N(N1167)/50),1))</f>
        <v/>
      </c>
      <c r="Q1167" s="5" t="s">
        <v>42</v>
      </c>
    </row>
    <row r="1168" customFormat="false" ht="15" hidden="false" customHeight="false" outlineLevel="0" collapsed="false">
      <c r="A1168" s="5" t="n">
        <v>1167</v>
      </c>
      <c r="B1168" s="5" t="s">
        <v>1340</v>
      </c>
      <c r="C1168" s="5" t="s">
        <v>456</v>
      </c>
      <c r="D1168" s="5" t="s">
        <v>36</v>
      </c>
      <c r="E1168" s="5" t="s">
        <v>1291</v>
      </c>
      <c r="F1168" s="5" t="s">
        <v>1320</v>
      </c>
      <c r="G1168" s="5" t="s">
        <v>39</v>
      </c>
      <c r="H1168" s="5" t="s">
        <v>40</v>
      </c>
      <c r="I1168" s="5" t="s">
        <v>796</v>
      </c>
      <c r="J1168" s="5" t="n">
        <v>4</v>
      </c>
      <c r="K1168" s="5" t="s">
        <v>1313</v>
      </c>
      <c r="L1168" s="6"/>
      <c r="M1168" s="6"/>
      <c r="N1168" s="6"/>
      <c r="O1168" s="6"/>
      <c r="P1168" s="5" t="str">
        <f aca="false">IF(M1168="","",ROUND(M1168*IFERROR(INDEX(Weights!$B$2:$B$4,MATCH(G1168,Weights!$A$2:$A$4,0)),0)*IFERROR(INDEX(Weights!$B$7:$B$11,MATCH(E1168,Weights!$A$7:$A$11,0)),0)*IFERROR(INDEX(Weights!$B$14:$B$17,MATCH(TEXT(J1168,"0"),Weights!$A$14:$A$17,0)),0)/(1+N(N1168)/50),1))</f>
        <v/>
      </c>
      <c r="Q1168" s="5" t="s">
        <v>122</v>
      </c>
    </row>
    <row r="1169" customFormat="false" ht="15" hidden="false" customHeight="false" outlineLevel="0" collapsed="false">
      <c r="A1169" s="5" t="n">
        <v>1168</v>
      </c>
      <c r="B1169" s="5" t="s">
        <v>1341</v>
      </c>
      <c r="C1169" s="5" t="s">
        <v>64</v>
      </c>
      <c r="D1169" s="5" t="s">
        <v>36</v>
      </c>
      <c r="E1169" s="5" t="s">
        <v>1291</v>
      </c>
      <c r="F1169" s="5" t="s">
        <v>1320</v>
      </c>
      <c r="G1169" s="5" t="s">
        <v>39</v>
      </c>
      <c r="H1169" s="5" t="s">
        <v>40</v>
      </c>
      <c r="I1169" s="5" t="s">
        <v>796</v>
      </c>
      <c r="J1169" s="5" t="n">
        <v>4</v>
      </c>
      <c r="K1169" s="5"/>
      <c r="L1169" s="6"/>
      <c r="M1169" s="6"/>
      <c r="N1169" s="6"/>
      <c r="O1169" s="6"/>
      <c r="P1169" s="5" t="str">
        <f aca="false">IF(M1169="","",ROUND(M1169*IFERROR(INDEX(Weights!$B$2:$B$4,MATCH(G1169,Weights!$A$2:$A$4,0)),0)*IFERROR(INDEX(Weights!$B$7:$B$11,MATCH(E1169,Weights!$A$7:$A$11,0)),0)*IFERROR(INDEX(Weights!$B$14:$B$17,MATCH(TEXT(J1169,"0"),Weights!$A$14:$A$17,0)),0)/(1+N(N1169)/50),1))</f>
        <v/>
      </c>
      <c r="Q1169" s="5" t="s">
        <v>42</v>
      </c>
    </row>
    <row r="1170" customFormat="false" ht="15" hidden="false" customHeight="false" outlineLevel="0" collapsed="false">
      <c r="A1170" s="5" t="n">
        <v>1169</v>
      </c>
      <c r="B1170" s="5" t="s">
        <v>1342</v>
      </c>
      <c r="C1170" s="5" t="s">
        <v>64</v>
      </c>
      <c r="D1170" s="5" t="s">
        <v>36</v>
      </c>
      <c r="E1170" s="5" t="s">
        <v>1291</v>
      </c>
      <c r="F1170" s="5" t="s">
        <v>1320</v>
      </c>
      <c r="G1170" s="5" t="s">
        <v>39</v>
      </c>
      <c r="H1170" s="5" t="s">
        <v>40</v>
      </c>
      <c r="I1170" s="5" t="s">
        <v>796</v>
      </c>
      <c r="J1170" s="5" t="n">
        <v>4</v>
      </c>
      <c r="K1170" s="5"/>
      <c r="L1170" s="6"/>
      <c r="M1170" s="6"/>
      <c r="N1170" s="6"/>
      <c r="O1170" s="6"/>
      <c r="P1170" s="5" t="str">
        <f aca="false">IF(M1170="","",ROUND(M1170*IFERROR(INDEX(Weights!$B$2:$B$4,MATCH(G1170,Weights!$A$2:$A$4,0)),0)*IFERROR(INDEX(Weights!$B$7:$B$11,MATCH(E1170,Weights!$A$7:$A$11,0)),0)*IFERROR(INDEX(Weights!$B$14:$B$17,MATCH(TEXT(J1170,"0"),Weights!$A$14:$A$17,0)),0)/(1+N(N1170)/50),1))</f>
        <v/>
      </c>
      <c r="Q1170" s="5" t="s">
        <v>42</v>
      </c>
    </row>
    <row r="1171" customFormat="false" ht="15" hidden="false" customHeight="false" outlineLevel="0" collapsed="false">
      <c r="A1171" s="5" t="n">
        <v>1170</v>
      </c>
      <c r="B1171" s="5" t="s">
        <v>1343</v>
      </c>
      <c r="C1171" s="5" t="s">
        <v>61</v>
      </c>
      <c r="D1171" s="5" t="s">
        <v>36</v>
      </c>
      <c r="E1171" s="5" t="s">
        <v>1291</v>
      </c>
      <c r="F1171" s="5" t="s">
        <v>1320</v>
      </c>
      <c r="G1171" s="5" t="s">
        <v>39</v>
      </c>
      <c r="H1171" s="5" t="s">
        <v>40</v>
      </c>
      <c r="I1171" s="5" t="s">
        <v>796</v>
      </c>
      <c r="J1171" s="5" t="n">
        <v>4</v>
      </c>
      <c r="K1171" s="5"/>
      <c r="L1171" s="6"/>
      <c r="M1171" s="6"/>
      <c r="N1171" s="6"/>
      <c r="O1171" s="6"/>
      <c r="P1171" s="5" t="str">
        <f aca="false">IF(M1171="","",ROUND(M1171*IFERROR(INDEX(Weights!$B$2:$B$4,MATCH(G1171,Weights!$A$2:$A$4,0)),0)*IFERROR(INDEX(Weights!$B$7:$B$11,MATCH(E1171,Weights!$A$7:$A$11,0)),0)*IFERROR(INDEX(Weights!$B$14:$B$17,MATCH(TEXT(J1171,"0"),Weights!$A$14:$A$17,0)),0)/(1+N(N1171)/50),1))</f>
        <v/>
      </c>
      <c r="Q1171" s="5" t="s">
        <v>42</v>
      </c>
    </row>
    <row r="1172" customFormat="false" ht="15" hidden="false" customHeight="false" outlineLevel="0" collapsed="false">
      <c r="A1172" s="5" t="n">
        <v>1171</v>
      </c>
      <c r="B1172" s="5" t="s">
        <v>1344</v>
      </c>
      <c r="C1172" s="5" t="s">
        <v>66</v>
      </c>
      <c r="D1172" s="5" t="s">
        <v>36</v>
      </c>
      <c r="E1172" s="5" t="s">
        <v>1291</v>
      </c>
      <c r="F1172" s="5" t="s">
        <v>1320</v>
      </c>
      <c r="G1172" s="5" t="s">
        <v>39</v>
      </c>
      <c r="H1172" s="5" t="s">
        <v>40</v>
      </c>
      <c r="I1172" s="5" t="s">
        <v>796</v>
      </c>
      <c r="J1172" s="5" t="n">
        <v>4</v>
      </c>
      <c r="K1172" s="5"/>
      <c r="L1172" s="6"/>
      <c r="M1172" s="6"/>
      <c r="N1172" s="6"/>
      <c r="O1172" s="6"/>
      <c r="P1172" s="5" t="str">
        <f aca="false">IF(M1172="","",ROUND(M1172*IFERROR(INDEX(Weights!$B$2:$B$4,MATCH(G1172,Weights!$A$2:$A$4,0)),0)*IFERROR(INDEX(Weights!$B$7:$B$11,MATCH(E1172,Weights!$A$7:$A$11,0)),0)*IFERROR(INDEX(Weights!$B$14:$B$17,MATCH(TEXT(J1172,"0"),Weights!$A$14:$A$17,0)),0)/(1+N(N1172)/50),1))</f>
        <v/>
      </c>
      <c r="Q1172" s="5" t="s">
        <v>42</v>
      </c>
    </row>
    <row r="1173" customFormat="false" ht="15" hidden="false" customHeight="false" outlineLevel="0" collapsed="false">
      <c r="A1173" s="5" t="n">
        <v>1172</v>
      </c>
      <c r="B1173" s="5" t="s">
        <v>1345</v>
      </c>
      <c r="C1173" s="5" t="s">
        <v>69</v>
      </c>
      <c r="D1173" s="5" t="s">
        <v>36</v>
      </c>
      <c r="E1173" s="5" t="s">
        <v>1291</v>
      </c>
      <c r="F1173" s="5" t="s">
        <v>1320</v>
      </c>
      <c r="G1173" s="5" t="s">
        <v>39</v>
      </c>
      <c r="H1173" s="5" t="s">
        <v>40</v>
      </c>
      <c r="I1173" s="5" t="s">
        <v>796</v>
      </c>
      <c r="J1173" s="5" t="n">
        <v>4</v>
      </c>
      <c r="K1173" s="5"/>
      <c r="L1173" s="6"/>
      <c r="M1173" s="6"/>
      <c r="N1173" s="6"/>
      <c r="O1173" s="6"/>
      <c r="P1173" s="5" t="str">
        <f aca="false">IF(M1173="","",ROUND(M1173*IFERROR(INDEX(Weights!$B$2:$B$4,MATCH(G1173,Weights!$A$2:$A$4,0)),0)*IFERROR(INDEX(Weights!$B$7:$B$11,MATCH(E1173,Weights!$A$7:$A$11,0)),0)*IFERROR(INDEX(Weights!$B$14:$B$17,MATCH(TEXT(J1173,"0"),Weights!$A$14:$A$17,0)),0)/(1+N(N1173)/50),1))</f>
        <v/>
      </c>
      <c r="Q1173" s="5" t="s">
        <v>42</v>
      </c>
    </row>
    <row r="1174" customFormat="false" ht="15" hidden="false" customHeight="false" outlineLevel="0" collapsed="false">
      <c r="A1174" s="5" t="n">
        <v>1173</v>
      </c>
      <c r="B1174" s="5" t="s">
        <v>1346</v>
      </c>
      <c r="C1174" s="5" t="s">
        <v>35</v>
      </c>
      <c r="D1174" s="5" t="s">
        <v>36</v>
      </c>
      <c r="E1174" s="5" t="s">
        <v>1291</v>
      </c>
      <c r="F1174" s="5" t="s">
        <v>1347</v>
      </c>
      <c r="G1174" s="5" t="s">
        <v>39</v>
      </c>
      <c r="H1174" s="5" t="s">
        <v>40</v>
      </c>
      <c r="I1174" s="5" t="s">
        <v>796</v>
      </c>
      <c r="J1174" s="5" t="n">
        <v>4</v>
      </c>
      <c r="K1174" s="5"/>
      <c r="L1174" s="6"/>
      <c r="M1174" s="6"/>
      <c r="N1174" s="6"/>
      <c r="O1174" s="6"/>
      <c r="P1174" s="5" t="str">
        <f aca="false">IF(M1174="","",ROUND(M1174*IFERROR(INDEX(Weights!$B$2:$B$4,MATCH(G1174,Weights!$A$2:$A$4,0)),0)*IFERROR(INDEX(Weights!$B$7:$B$11,MATCH(E1174,Weights!$A$7:$A$11,0)),0)*IFERROR(INDEX(Weights!$B$14:$B$17,MATCH(TEXT(J1174,"0"),Weights!$A$14:$A$17,0)),0)/(1+N(N1174)/50),1))</f>
        <v/>
      </c>
      <c r="Q1174" s="5" t="s">
        <v>42</v>
      </c>
    </row>
    <row r="1175" customFormat="false" ht="15" hidden="false" customHeight="false" outlineLevel="0" collapsed="false">
      <c r="A1175" s="5" t="n">
        <v>1174</v>
      </c>
      <c r="B1175" s="5" t="s">
        <v>1348</v>
      </c>
      <c r="C1175" s="5" t="s">
        <v>35</v>
      </c>
      <c r="D1175" s="5" t="s">
        <v>36</v>
      </c>
      <c r="E1175" s="5" t="s">
        <v>1291</v>
      </c>
      <c r="F1175" s="5" t="s">
        <v>1347</v>
      </c>
      <c r="G1175" s="5" t="s">
        <v>39</v>
      </c>
      <c r="H1175" s="5" t="s">
        <v>40</v>
      </c>
      <c r="I1175" s="5" t="s">
        <v>796</v>
      </c>
      <c r="J1175" s="5" t="n">
        <v>4</v>
      </c>
      <c r="K1175" s="5"/>
      <c r="L1175" s="6"/>
      <c r="M1175" s="6"/>
      <c r="N1175" s="6"/>
      <c r="O1175" s="6"/>
      <c r="P1175" s="5" t="str">
        <f aca="false">IF(M1175="","",ROUND(M1175*IFERROR(INDEX(Weights!$B$2:$B$4,MATCH(G1175,Weights!$A$2:$A$4,0)),0)*IFERROR(INDEX(Weights!$B$7:$B$11,MATCH(E1175,Weights!$A$7:$A$11,0)),0)*IFERROR(INDEX(Weights!$B$14:$B$17,MATCH(TEXT(J1175,"0"),Weights!$A$14:$A$17,0)),0)/(1+N(N1175)/50),1))</f>
        <v/>
      </c>
      <c r="Q1175" s="5" t="s">
        <v>42</v>
      </c>
    </row>
    <row r="1176" customFormat="false" ht="15" hidden="false" customHeight="false" outlineLevel="0" collapsed="false">
      <c r="A1176" s="5" t="n">
        <v>1175</v>
      </c>
      <c r="B1176" s="5" t="s">
        <v>1349</v>
      </c>
      <c r="C1176" s="5" t="s">
        <v>35</v>
      </c>
      <c r="D1176" s="5" t="s">
        <v>36</v>
      </c>
      <c r="E1176" s="5" t="s">
        <v>1291</v>
      </c>
      <c r="F1176" s="5" t="s">
        <v>1347</v>
      </c>
      <c r="G1176" s="5" t="s">
        <v>39</v>
      </c>
      <c r="H1176" s="5" t="s">
        <v>40</v>
      </c>
      <c r="I1176" s="5" t="s">
        <v>796</v>
      </c>
      <c r="J1176" s="5" t="n">
        <v>4</v>
      </c>
      <c r="K1176" s="5"/>
      <c r="L1176" s="6"/>
      <c r="M1176" s="6"/>
      <c r="N1176" s="6"/>
      <c r="O1176" s="6"/>
      <c r="P1176" s="5" t="str">
        <f aca="false">IF(M1176="","",ROUND(M1176*IFERROR(INDEX(Weights!$B$2:$B$4,MATCH(G1176,Weights!$A$2:$A$4,0)),0)*IFERROR(INDEX(Weights!$B$7:$B$11,MATCH(E1176,Weights!$A$7:$A$11,0)),0)*IFERROR(INDEX(Weights!$B$14:$B$17,MATCH(TEXT(J1176,"0"),Weights!$A$14:$A$17,0)),0)/(1+N(N1176)/50),1))</f>
        <v/>
      </c>
      <c r="Q1176" s="5" t="s">
        <v>42</v>
      </c>
    </row>
    <row r="1177" customFormat="false" ht="15" hidden="false" customHeight="false" outlineLevel="0" collapsed="false">
      <c r="A1177" s="5" t="n">
        <v>1176</v>
      </c>
      <c r="B1177" s="5" t="s">
        <v>1350</v>
      </c>
      <c r="C1177" s="5" t="s">
        <v>47</v>
      </c>
      <c r="D1177" s="5" t="s">
        <v>36</v>
      </c>
      <c r="E1177" s="5" t="s">
        <v>1291</v>
      </c>
      <c r="F1177" s="5" t="s">
        <v>1347</v>
      </c>
      <c r="G1177" s="5" t="s">
        <v>39</v>
      </c>
      <c r="H1177" s="5" t="s">
        <v>40</v>
      </c>
      <c r="I1177" s="5" t="s">
        <v>796</v>
      </c>
      <c r="J1177" s="5" t="n">
        <v>4</v>
      </c>
      <c r="K1177" s="5"/>
      <c r="L1177" s="6"/>
      <c r="M1177" s="6"/>
      <c r="N1177" s="6"/>
      <c r="O1177" s="6"/>
      <c r="P1177" s="5" t="str">
        <f aca="false">IF(M1177="","",ROUND(M1177*IFERROR(INDEX(Weights!$B$2:$B$4,MATCH(G1177,Weights!$A$2:$A$4,0)),0)*IFERROR(INDEX(Weights!$B$7:$B$11,MATCH(E1177,Weights!$A$7:$A$11,0)),0)*IFERROR(INDEX(Weights!$B$14:$B$17,MATCH(TEXT(J1177,"0"),Weights!$A$14:$A$17,0)),0)/(1+N(N1177)/50),1))</f>
        <v/>
      </c>
      <c r="Q1177" s="5" t="s">
        <v>42</v>
      </c>
    </row>
    <row r="1178" customFormat="false" ht="15" hidden="false" customHeight="false" outlineLevel="0" collapsed="false">
      <c r="A1178" s="5" t="n">
        <v>1177</v>
      </c>
      <c r="B1178" s="5" t="s">
        <v>1351</v>
      </c>
      <c r="C1178" s="5" t="s">
        <v>47</v>
      </c>
      <c r="D1178" s="5" t="s">
        <v>36</v>
      </c>
      <c r="E1178" s="5" t="s">
        <v>1291</v>
      </c>
      <c r="F1178" s="5" t="s">
        <v>1347</v>
      </c>
      <c r="G1178" s="5" t="s">
        <v>39</v>
      </c>
      <c r="H1178" s="5" t="s">
        <v>40</v>
      </c>
      <c r="I1178" s="5" t="s">
        <v>796</v>
      </c>
      <c r="J1178" s="5" t="n">
        <v>4</v>
      </c>
      <c r="K1178" s="5"/>
      <c r="L1178" s="6"/>
      <c r="M1178" s="6"/>
      <c r="N1178" s="6"/>
      <c r="O1178" s="6"/>
      <c r="P1178" s="5" t="str">
        <f aca="false">IF(M1178="","",ROUND(M1178*IFERROR(INDEX(Weights!$B$2:$B$4,MATCH(G1178,Weights!$A$2:$A$4,0)),0)*IFERROR(INDEX(Weights!$B$7:$B$11,MATCH(E1178,Weights!$A$7:$A$11,0)),0)*IFERROR(INDEX(Weights!$B$14:$B$17,MATCH(TEXT(J1178,"0"),Weights!$A$14:$A$17,0)),0)/(1+N(N1178)/50),1))</f>
        <v/>
      </c>
      <c r="Q1178" s="5" t="s">
        <v>42</v>
      </c>
    </row>
    <row r="1179" customFormat="false" ht="15" hidden="false" customHeight="false" outlineLevel="0" collapsed="false">
      <c r="A1179" s="5" t="n">
        <v>1178</v>
      </c>
      <c r="B1179" s="5" t="s">
        <v>1352</v>
      </c>
      <c r="C1179" s="5" t="s">
        <v>47</v>
      </c>
      <c r="D1179" s="5" t="s">
        <v>36</v>
      </c>
      <c r="E1179" s="5" t="s">
        <v>1291</v>
      </c>
      <c r="F1179" s="5" t="s">
        <v>1347</v>
      </c>
      <c r="G1179" s="5" t="s">
        <v>39</v>
      </c>
      <c r="H1179" s="5" t="s">
        <v>40</v>
      </c>
      <c r="I1179" s="5" t="s">
        <v>796</v>
      </c>
      <c r="J1179" s="5" t="n">
        <v>4</v>
      </c>
      <c r="K1179" s="5"/>
      <c r="L1179" s="6"/>
      <c r="M1179" s="6"/>
      <c r="N1179" s="6"/>
      <c r="O1179" s="6"/>
      <c r="P1179" s="5" t="str">
        <f aca="false">IF(M1179="","",ROUND(M1179*IFERROR(INDEX(Weights!$B$2:$B$4,MATCH(G1179,Weights!$A$2:$A$4,0)),0)*IFERROR(INDEX(Weights!$B$7:$B$11,MATCH(E1179,Weights!$A$7:$A$11,0)),0)*IFERROR(INDEX(Weights!$B$14:$B$17,MATCH(TEXT(J1179,"0"),Weights!$A$14:$A$17,0)),0)/(1+N(N1179)/50),1))</f>
        <v/>
      </c>
      <c r="Q1179" s="5" t="s">
        <v>42</v>
      </c>
    </row>
    <row r="1180" customFormat="false" ht="15" hidden="false" customHeight="false" outlineLevel="0" collapsed="false">
      <c r="A1180" s="5" t="n">
        <v>1179</v>
      </c>
      <c r="B1180" s="5" t="s">
        <v>1353</v>
      </c>
      <c r="C1180" s="5" t="s">
        <v>47</v>
      </c>
      <c r="D1180" s="5" t="s">
        <v>36</v>
      </c>
      <c r="E1180" s="5" t="s">
        <v>1291</v>
      </c>
      <c r="F1180" s="5" t="s">
        <v>1347</v>
      </c>
      <c r="G1180" s="5" t="s">
        <v>39</v>
      </c>
      <c r="H1180" s="5" t="s">
        <v>40</v>
      </c>
      <c r="I1180" s="5" t="s">
        <v>796</v>
      </c>
      <c r="J1180" s="5" t="n">
        <v>4</v>
      </c>
      <c r="K1180" s="5"/>
      <c r="L1180" s="6"/>
      <c r="M1180" s="6"/>
      <c r="N1180" s="6"/>
      <c r="O1180" s="6"/>
      <c r="P1180" s="5" t="str">
        <f aca="false">IF(M1180="","",ROUND(M1180*IFERROR(INDEX(Weights!$B$2:$B$4,MATCH(G1180,Weights!$A$2:$A$4,0)),0)*IFERROR(INDEX(Weights!$B$7:$B$11,MATCH(E1180,Weights!$A$7:$A$11,0)),0)*IFERROR(INDEX(Weights!$B$14:$B$17,MATCH(TEXT(J1180,"0"),Weights!$A$14:$A$17,0)),0)/(1+N(N1180)/50),1))</f>
        <v/>
      </c>
      <c r="Q1180" s="5" t="s">
        <v>42</v>
      </c>
    </row>
    <row r="1181" customFormat="false" ht="15" hidden="false" customHeight="false" outlineLevel="0" collapsed="false">
      <c r="A1181" s="5" t="n">
        <v>1180</v>
      </c>
      <c r="B1181" s="5" t="s">
        <v>1354</v>
      </c>
      <c r="C1181" s="5" t="s">
        <v>51</v>
      </c>
      <c r="D1181" s="5" t="s">
        <v>36</v>
      </c>
      <c r="E1181" s="5" t="s">
        <v>1291</v>
      </c>
      <c r="F1181" s="5" t="s">
        <v>1347</v>
      </c>
      <c r="G1181" s="5" t="s">
        <v>39</v>
      </c>
      <c r="H1181" s="5" t="s">
        <v>40</v>
      </c>
      <c r="I1181" s="5" t="s">
        <v>796</v>
      </c>
      <c r="J1181" s="5" t="n">
        <v>4</v>
      </c>
      <c r="K1181" s="5"/>
      <c r="L1181" s="6"/>
      <c r="M1181" s="6"/>
      <c r="N1181" s="6"/>
      <c r="O1181" s="6"/>
      <c r="P1181" s="5" t="str">
        <f aca="false">IF(M1181="","",ROUND(M1181*IFERROR(INDEX(Weights!$B$2:$B$4,MATCH(G1181,Weights!$A$2:$A$4,0)),0)*IFERROR(INDEX(Weights!$B$7:$B$11,MATCH(E1181,Weights!$A$7:$A$11,0)),0)*IFERROR(INDEX(Weights!$B$14:$B$17,MATCH(TEXT(J1181,"0"),Weights!$A$14:$A$17,0)),0)/(1+N(N1181)/50),1))</f>
        <v/>
      </c>
      <c r="Q1181" s="5" t="s">
        <v>42</v>
      </c>
    </row>
    <row r="1182" customFormat="false" ht="15" hidden="false" customHeight="false" outlineLevel="0" collapsed="false">
      <c r="A1182" s="5" t="n">
        <v>1181</v>
      </c>
      <c r="B1182" s="5" t="s">
        <v>1355</v>
      </c>
      <c r="C1182" s="5" t="s">
        <v>51</v>
      </c>
      <c r="D1182" s="5" t="s">
        <v>36</v>
      </c>
      <c r="E1182" s="5" t="s">
        <v>1291</v>
      </c>
      <c r="F1182" s="5" t="s">
        <v>1347</v>
      </c>
      <c r="G1182" s="5" t="s">
        <v>39</v>
      </c>
      <c r="H1182" s="5" t="s">
        <v>40</v>
      </c>
      <c r="I1182" s="5" t="s">
        <v>796</v>
      </c>
      <c r="J1182" s="5" t="n">
        <v>4</v>
      </c>
      <c r="K1182" s="5"/>
      <c r="L1182" s="6"/>
      <c r="M1182" s="6"/>
      <c r="N1182" s="6"/>
      <c r="O1182" s="6"/>
      <c r="P1182" s="5" t="str">
        <f aca="false">IF(M1182="","",ROUND(M1182*IFERROR(INDEX(Weights!$B$2:$B$4,MATCH(G1182,Weights!$A$2:$A$4,0)),0)*IFERROR(INDEX(Weights!$B$7:$B$11,MATCH(E1182,Weights!$A$7:$A$11,0)),0)*IFERROR(INDEX(Weights!$B$14:$B$17,MATCH(TEXT(J1182,"0"),Weights!$A$14:$A$17,0)),0)/(1+N(N1182)/50),1))</f>
        <v/>
      </c>
      <c r="Q1182" s="5" t="s">
        <v>42</v>
      </c>
    </row>
    <row r="1183" customFormat="false" ht="15" hidden="false" customHeight="false" outlineLevel="0" collapsed="false">
      <c r="A1183" s="5" t="n">
        <v>1182</v>
      </c>
      <c r="B1183" s="5" t="s">
        <v>1356</v>
      </c>
      <c r="C1183" s="5" t="s">
        <v>51</v>
      </c>
      <c r="D1183" s="5" t="s">
        <v>36</v>
      </c>
      <c r="E1183" s="5" t="s">
        <v>1291</v>
      </c>
      <c r="F1183" s="5" t="s">
        <v>1347</v>
      </c>
      <c r="G1183" s="5" t="s">
        <v>39</v>
      </c>
      <c r="H1183" s="5" t="s">
        <v>40</v>
      </c>
      <c r="I1183" s="5" t="s">
        <v>796</v>
      </c>
      <c r="J1183" s="5" t="n">
        <v>4</v>
      </c>
      <c r="K1183" s="5"/>
      <c r="L1183" s="6"/>
      <c r="M1183" s="6"/>
      <c r="N1183" s="6"/>
      <c r="O1183" s="6"/>
      <c r="P1183" s="5" t="str">
        <f aca="false">IF(M1183="","",ROUND(M1183*IFERROR(INDEX(Weights!$B$2:$B$4,MATCH(G1183,Weights!$A$2:$A$4,0)),0)*IFERROR(INDEX(Weights!$B$7:$B$11,MATCH(E1183,Weights!$A$7:$A$11,0)),0)*IFERROR(INDEX(Weights!$B$14:$B$17,MATCH(TEXT(J1183,"0"),Weights!$A$14:$A$17,0)),0)/(1+N(N1183)/50),1))</f>
        <v/>
      </c>
      <c r="Q1183" s="5" t="s">
        <v>42</v>
      </c>
    </row>
    <row r="1184" customFormat="false" ht="15" hidden="false" customHeight="false" outlineLevel="0" collapsed="false">
      <c r="A1184" s="5" t="n">
        <v>1183</v>
      </c>
      <c r="B1184" s="5" t="s">
        <v>1357</v>
      </c>
      <c r="C1184" s="5" t="s">
        <v>54</v>
      </c>
      <c r="D1184" s="5" t="s">
        <v>36</v>
      </c>
      <c r="E1184" s="5" t="s">
        <v>1291</v>
      </c>
      <c r="F1184" s="5" t="s">
        <v>1347</v>
      </c>
      <c r="G1184" s="5" t="s">
        <v>39</v>
      </c>
      <c r="H1184" s="5" t="s">
        <v>40</v>
      </c>
      <c r="I1184" s="5" t="s">
        <v>796</v>
      </c>
      <c r="J1184" s="5" t="n">
        <v>4</v>
      </c>
      <c r="K1184" s="5"/>
      <c r="L1184" s="6"/>
      <c r="M1184" s="6"/>
      <c r="N1184" s="6"/>
      <c r="O1184" s="6"/>
      <c r="P1184" s="5" t="str">
        <f aca="false">IF(M1184="","",ROUND(M1184*IFERROR(INDEX(Weights!$B$2:$B$4,MATCH(G1184,Weights!$A$2:$A$4,0)),0)*IFERROR(INDEX(Weights!$B$7:$B$11,MATCH(E1184,Weights!$A$7:$A$11,0)),0)*IFERROR(INDEX(Weights!$B$14:$B$17,MATCH(TEXT(J1184,"0"),Weights!$A$14:$A$17,0)),0)/(1+N(N1184)/50),1))</f>
        <v/>
      </c>
      <c r="Q1184" s="5" t="s">
        <v>42</v>
      </c>
    </row>
    <row r="1185" customFormat="false" ht="15" hidden="false" customHeight="false" outlineLevel="0" collapsed="false">
      <c r="A1185" s="5" t="n">
        <v>1184</v>
      </c>
      <c r="B1185" s="5" t="s">
        <v>1358</v>
      </c>
      <c r="C1185" s="5" t="s">
        <v>54</v>
      </c>
      <c r="D1185" s="5" t="s">
        <v>36</v>
      </c>
      <c r="E1185" s="5" t="s">
        <v>1291</v>
      </c>
      <c r="F1185" s="5" t="s">
        <v>1347</v>
      </c>
      <c r="G1185" s="5" t="s">
        <v>39</v>
      </c>
      <c r="H1185" s="5" t="s">
        <v>40</v>
      </c>
      <c r="I1185" s="5" t="s">
        <v>796</v>
      </c>
      <c r="J1185" s="5" t="n">
        <v>4</v>
      </c>
      <c r="K1185" s="5"/>
      <c r="L1185" s="6"/>
      <c r="M1185" s="6"/>
      <c r="N1185" s="6"/>
      <c r="O1185" s="6"/>
      <c r="P1185" s="5" t="str">
        <f aca="false">IF(M1185="","",ROUND(M1185*IFERROR(INDEX(Weights!$B$2:$B$4,MATCH(G1185,Weights!$A$2:$A$4,0)),0)*IFERROR(INDEX(Weights!$B$7:$B$11,MATCH(E1185,Weights!$A$7:$A$11,0)),0)*IFERROR(INDEX(Weights!$B$14:$B$17,MATCH(TEXT(J1185,"0"),Weights!$A$14:$A$17,0)),0)/(1+N(N1185)/50),1))</f>
        <v/>
      </c>
      <c r="Q1185" s="5" t="s">
        <v>42</v>
      </c>
    </row>
    <row r="1186" customFormat="false" ht="15" hidden="false" customHeight="false" outlineLevel="0" collapsed="false">
      <c r="A1186" s="5" t="n">
        <v>1185</v>
      </c>
      <c r="B1186" s="5" t="s">
        <v>1359</v>
      </c>
      <c r="C1186" s="5" t="s">
        <v>57</v>
      </c>
      <c r="D1186" s="5" t="s">
        <v>36</v>
      </c>
      <c r="E1186" s="5" t="s">
        <v>1291</v>
      </c>
      <c r="F1186" s="5" t="s">
        <v>1347</v>
      </c>
      <c r="G1186" s="5" t="s">
        <v>39</v>
      </c>
      <c r="H1186" s="5" t="s">
        <v>40</v>
      </c>
      <c r="I1186" s="5" t="s">
        <v>796</v>
      </c>
      <c r="J1186" s="5" t="n">
        <v>4</v>
      </c>
      <c r="K1186" s="5"/>
      <c r="L1186" s="6"/>
      <c r="M1186" s="6"/>
      <c r="N1186" s="6"/>
      <c r="O1186" s="6"/>
      <c r="P1186" s="5" t="str">
        <f aca="false">IF(M1186="","",ROUND(M1186*IFERROR(INDEX(Weights!$B$2:$B$4,MATCH(G1186,Weights!$A$2:$A$4,0)),0)*IFERROR(INDEX(Weights!$B$7:$B$11,MATCH(E1186,Weights!$A$7:$A$11,0)),0)*IFERROR(INDEX(Weights!$B$14:$B$17,MATCH(TEXT(J1186,"0"),Weights!$A$14:$A$17,0)),0)/(1+N(N1186)/50),1))</f>
        <v/>
      </c>
      <c r="Q1186" s="5" t="s">
        <v>42</v>
      </c>
    </row>
    <row r="1187" customFormat="false" ht="15" hidden="false" customHeight="false" outlineLevel="0" collapsed="false">
      <c r="A1187" s="5" t="n">
        <v>1186</v>
      </c>
      <c r="B1187" s="5" t="s">
        <v>1360</v>
      </c>
      <c r="C1187" s="5" t="s">
        <v>57</v>
      </c>
      <c r="D1187" s="5" t="s">
        <v>36</v>
      </c>
      <c r="E1187" s="5" t="s">
        <v>1291</v>
      </c>
      <c r="F1187" s="5" t="s">
        <v>1347</v>
      </c>
      <c r="G1187" s="5" t="s">
        <v>39</v>
      </c>
      <c r="H1187" s="5" t="s">
        <v>40</v>
      </c>
      <c r="I1187" s="5" t="s">
        <v>796</v>
      </c>
      <c r="J1187" s="5" t="n">
        <v>4</v>
      </c>
      <c r="K1187" s="5"/>
      <c r="L1187" s="6"/>
      <c r="M1187" s="6"/>
      <c r="N1187" s="6"/>
      <c r="O1187" s="6"/>
      <c r="P1187" s="5" t="str">
        <f aca="false">IF(M1187="","",ROUND(M1187*IFERROR(INDEX(Weights!$B$2:$B$4,MATCH(G1187,Weights!$A$2:$A$4,0)),0)*IFERROR(INDEX(Weights!$B$7:$B$11,MATCH(E1187,Weights!$A$7:$A$11,0)),0)*IFERROR(INDEX(Weights!$B$14:$B$17,MATCH(TEXT(J1187,"0"),Weights!$A$14:$A$17,0)),0)/(1+N(N1187)/50),1))</f>
        <v/>
      </c>
      <c r="Q1187" s="5" t="s">
        <v>42</v>
      </c>
    </row>
    <row r="1188" customFormat="false" ht="15" hidden="false" customHeight="false" outlineLevel="0" collapsed="false">
      <c r="A1188" s="5" t="n">
        <v>1187</v>
      </c>
      <c r="B1188" s="5" t="s">
        <v>1361</v>
      </c>
      <c r="C1188" s="5" t="s">
        <v>57</v>
      </c>
      <c r="D1188" s="5" t="s">
        <v>36</v>
      </c>
      <c r="E1188" s="5" t="s">
        <v>1291</v>
      </c>
      <c r="F1188" s="5" t="s">
        <v>1347</v>
      </c>
      <c r="G1188" s="5" t="s">
        <v>39</v>
      </c>
      <c r="H1188" s="5" t="s">
        <v>40</v>
      </c>
      <c r="I1188" s="5" t="s">
        <v>796</v>
      </c>
      <c r="J1188" s="5" t="n">
        <v>4</v>
      </c>
      <c r="K1188" s="5"/>
      <c r="L1188" s="6"/>
      <c r="M1188" s="6"/>
      <c r="N1188" s="6"/>
      <c r="O1188" s="6"/>
      <c r="P1188" s="5" t="str">
        <f aca="false">IF(M1188="","",ROUND(M1188*IFERROR(INDEX(Weights!$B$2:$B$4,MATCH(G1188,Weights!$A$2:$A$4,0)),0)*IFERROR(INDEX(Weights!$B$7:$B$11,MATCH(E1188,Weights!$A$7:$A$11,0)),0)*IFERROR(INDEX(Weights!$B$14:$B$17,MATCH(TEXT(J1188,"0"),Weights!$A$14:$A$17,0)),0)/(1+N(N1188)/50),1))</f>
        <v/>
      </c>
      <c r="Q1188" s="5" t="s">
        <v>42</v>
      </c>
    </row>
    <row r="1189" customFormat="false" ht="15" hidden="false" customHeight="false" outlineLevel="0" collapsed="false">
      <c r="A1189" s="5" t="n">
        <v>1188</v>
      </c>
      <c r="B1189" s="5" t="s">
        <v>1362</v>
      </c>
      <c r="C1189" s="5" t="s">
        <v>464</v>
      </c>
      <c r="D1189" s="5" t="s">
        <v>36</v>
      </c>
      <c r="E1189" s="5" t="s">
        <v>1291</v>
      </c>
      <c r="F1189" s="5" t="s">
        <v>1347</v>
      </c>
      <c r="G1189" s="5" t="s">
        <v>39</v>
      </c>
      <c r="H1189" s="5" t="s">
        <v>40</v>
      </c>
      <c r="I1189" s="5" t="s">
        <v>796</v>
      </c>
      <c r="J1189" s="5" t="n">
        <v>4</v>
      </c>
      <c r="K1189" s="5"/>
      <c r="L1189" s="6"/>
      <c r="M1189" s="6"/>
      <c r="N1189" s="6"/>
      <c r="O1189" s="6"/>
      <c r="P1189" s="5" t="str">
        <f aca="false">IF(M1189="","",ROUND(M1189*IFERROR(INDEX(Weights!$B$2:$B$4,MATCH(G1189,Weights!$A$2:$A$4,0)),0)*IFERROR(INDEX(Weights!$B$7:$B$11,MATCH(E1189,Weights!$A$7:$A$11,0)),0)*IFERROR(INDEX(Weights!$B$14:$B$17,MATCH(TEXT(J1189,"0"),Weights!$A$14:$A$17,0)),0)/(1+N(N1189)/50),1))</f>
        <v/>
      </c>
      <c r="Q1189" s="5" t="s">
        <v>42</v>
      </c>
    </row>
    <row r="1190" customFormat="false" ht="15" hidden="false" customHeight="false" outlineLevel="0" collapsed="false">
      <c r="A1190" s="5" t="n">
        <v>1189</v>
      </c>
      <c r="B1190" s="5" t="s">
        <v>1363</v>
      </c>
      <c r="C1190" s="5" t="s">
        <v>464</v>
      </c>
      <c r="D1190" s="5" t="s">
        <v>36</v>
      </c>
      <c r="E1190" s="5" t="s">
        <v>1291</v>
      </c>
      <c r="F1190" s="5" t="s">
        <v>1347</v>
      </c>
      <c r="G1190" s="5" t="s">
        <v>39</v>
      </c>
      <c r="H1190" s="5" t="s">
        <v>40</v>
      </c>
      <c r="I1190" s="5" t="s">
        <v>796</v>
      </c>
      <c r="J1190" s="5" t="n">
        <v>4</v>
      </c>
      <c r="K1190" s="5"/>
      <c r="L1190" s="6"/>
      <c r="M1190" s="6"/>
      <c r="N1190" s="6"/>
      <c r="O1190" s="6"/>
      <c r="P1190" s="5" t="str">
        <f aca="false">IF(M1190="","",ROUND(M1190*IFERROR(INDEX(Weights!$B$2:$B$4,MATCH(G1190,Weights!$A$2:$A$4,0)),0)*IFERROR(INDEX(Weights!$B$7:$B$11,MATCH(E1190,Weights!$A$7:$A$11,0)),0)*IFERROR(INDEX(Weights!$B$14:$B$17,MATCH(TEXT(J1190,"0"),Weights!$A$14:$A$17,0)),0)/(1+N(N1190)/50),1))</f>
        <v/>
      </c>
      <c r="Q1190" s="5" t="s">
        <v>42</v>
      </c>
    </row>
    <row r="1191" customFormat="false" ht="15" hidden="false" customHeight="false" outlineLevel="0" collapsed="false">
      <c r="A1191" s="5" t="n">
        <v>1190</v>
      </c>
      <c r="B1191" s="5" t="s">
        <v>1364</v>
      </c>
      <c r="C1191" s="5" t="s">
        <v>464</v>
      </c>
      <c r="D1191" s="5" t="s">
        <v>36</v>
      </c>
      <c r="E1191" s="5" t="s">
        <v>1291</v>
      </c>
      <c r="F1191" s="5" t="s">
        <v>1347</v>
      </c>
      <c r="G1191" s="5" t="s">
        <v>39</v>
      </c>
      <c r="H1191" s="5" t="s">
        <v>40</v>
      </c>
      <c r="I1191" s="5" t="s">
        <v>796</v>
      </c>
      <c r="J1191" s="5" t="n">
        <v>4</v>
      </c>
      <c r="K1191" s="5"/>
      <c r="L1191" s="6"/>
      <c r="M1191" s="6"/>
      <c r="N1191" s="6"/>
      <c r="O1191" s="6"/>
      <c r="P1191" s="5" t="str">
        <f aca="false">IF(M1191="","",ROUND(M1191*IFERROR(INDEX(Weights!$B$2:$B$4,MATCH(G1191,Weights!$A$2:$A$4,0)),0)*IFERROR(INDEX(Weights!$B$7:$B$11,MATCH(E1191,Weights!$A$7:$A$11,0)),0)*IFERROR(INDEX(Weights!$B$14:$B$17,MATCH(TEXT(J1191,"0"),Weights!$A$14:$A$17,0)),0)/(1+N(N1191)/50),1))</f>
        <v/>
      </c>
      <c r="Q1191" s="5" t="s">
        <v>42</v>
      </c>
    </row>
    <row r="1192" customFormat="false" ht="15" hidden="false" customHeight="false" outlineLevel="0" collapsed="false">
      <c r="A1192" s="5" t="n">
        <v>1191</v>
      </c>
      <c r="B1192" s="5" t="s">
        <v>1365</v>
      </c>
      <c r="C1192" s="5" t="s">
        <v>456</v>
      </c>
      <c r="D1192" s="5" t="s">
        <v>36</v>
      </c>
      <c r="E1192" s="5" t="s">
        <v>1291</v>
      </c>
      <c r="F1192" s="5" t="s">
        <v>1347</v>
      </c>
      <c r="G1192" s="5" t="s">
        <v>39</v>
      </c>
      <c r="H1192" s="5" t="s">
        <v>40</v>
      </c>
      <c r="I1192" s="5" t="s">
        <v>796</v>
      </c>
      <c r="J1192" s="5" t="n">
        <v>4</v>
      </c>
      <c r="K1192" s="5"/>
      <c r="L1192" s="6"/>
      <c r="M1192" s="6"/>
      <c r="N1192" s="6"/>
      <c r="O1192" s="6"/>
      <c r="P1192" s="5" t="str">
        <f aca="false">IF(M1192="","",ROUND(M1192*IFERROR(INDEX(Weights!$B$2:$B$4,MATCH(G1192,Weights!$A$2:$A$4,0)),0)*IFERROR(INDEX(Weights!$B$7:$B$11,MATCH(E1192,Weights!$A$7:$A$11,0)),0)*IFERROR(INDEX(Weights!$B$14:$B$17,MATCH(TEXT(J1192,"0"),Weights!$A$14:$A$17,0)),0)/(1+N(N1192)/50),1))</f>
        <v/>
      </c>
      <c r="Q1192" s="5" t="s">
        <v>42</v>
      </c>
    </row>
    <row r="1193" customFormat="false" ht="15" hidden="false" customHeight="false" outlineLevel="0" collapsed="false">
      <c r="A1193" s="5" t="n">
        <v>1192</v>
      </c>
      <c r="B1193" s="5" t="s">
        <v>1366</v>
      </c>
      <c r="C1193" s="5" t="s">
        <v>456</v>
      </c>
      <c r="D1193" s="5" t="s">
        <v>36</v>
      </c>
      <c r="E1193" s="5" t="s">
        <v>1291</v>
      </c>
      <c r="F1193" s="5" t="s">
        <v>1347</v>
      </c>
      <c r="G1193" s="5" t="s">
        <v>39</v>
      </c>
      <c r="H1193" s="5" t="s">
        <v>40</v>
      </c>
      <c r="I1193" s="5" t="s">
        <v>796</v>
      </c>
      <c r="J1193" s="5" t="n">
        <v>4</v>
      </c>
      <c r="K1193" s="5"/>
      <c r="L1193" s="6"/>
      <c r="M1193" s="6"/>
      <c r="N1193" s="6"/>
      <c r="O1193" s="6"/>
      <c r="P1193" s="5" t="str">
        <f aca="false">IF(M1193="","",ROUND(M1193*IFERROR(INDEX(Weights!$B$2:$B$4,MATCH(G1193,Weights!$A$2:$A$4,0)),0)*IFERROR(INDEX(Weights!$B$7:$B$11,MATCH(E1193,Weights!$A$7:$A$11,0)),0)*IFERROR(INDEX(Weights!$B$14:$B$17,MATCH(TEXT(J1193,"0"),Weights!$A$14:$A$17,0)),0)/(1+N(N1193)/50),1))</f>
        <v/>
      </c>
      <c r="Q1193" s="5" t="s">
        <v>42</v>
      </c>
    </row>
    <row r="1194" customFormat="false" ht="15" hidden="false" customHeight="false" outlineLevel="0" collapsed="false">
      <c r="A1194" s="5" t="n">
        <v>1193</v>
      </c>
      <c r="B1194" s="5" t="s">
        <v>1367</v>
      </c>
      <c r="C1194" s="5" t="s">
        <v>456</v>
      </c>
      <c r="D1194" s="5" t="s">
        <v>36</v>
      </c>
      <c r="E1194" s="5" t="s">
        <v>1291</v>
      </c>
      <c r="F1194" s="5" t="s">
        <v>1347</v>
      </c>
      <c r="G1194" s="5" t="s">
        <v>39</v>
      </c>
      <c r="H1194" s="5" t="s">
        <v>40</v>
      </c>
      <c r="I1194" s="5" t="s">
        <v>796</v>
      </c>
      <c r="J1194" s="5" t="n">
        <v>4</v>
      </c>
      <c r="K1194" s="5" t="s">
        <v>1313</v>
      </c>
      <c r="L1194" s="6"/>
      <c r="M1194" s="6"/>
      <c r="N1194" s="6"/>
      <c r="O1194" s="6"/>
      <c r="P1194" s="5" t="str">
        <f aca="false">IF(M1194="","",ROUND(M1194*IFERROR(INDEX(Weights!$B$2:$B$4,MATCH(G1194,Weights!$A$2:$A$4,0)),0)*IFERROR(INDEX(Weights!$B$7:$B$11,MATCH(E1194,Weights!$A$7:$A$11,0)),0)*IFERROR(INDEX(Weights!$B$14:$B$17,MATCH(TEXT(J1194,"0"),Weights!$A$14:$A$17,0)),0)/(1+N(N1194)/50),1))</f>
        <v/>
      </c>
      <c r="Q1194" s="5" t="s">
        <v>122</v>
      </c>
    </row>
    <row r="1195" customFormat="false" ht="15" hidden="false" customHeight="false" outlineLevel="0" collapsed="false">
      <c r="A1195" s="5" t="n">
        <v>1194</v>
      </c>
      <c r="B1195" s="5" t="s">
        <v>1368</v>
      </c>
      <c r="C1195" s="5" t="s">
        <v>64</v>
      </c>
      <c r="D1195" s="5" t="s">
        <v>36</v>
      </c>
      <c r="E1195" s="5" t="s">
        <v>1291</v>
      </c>
      <c r="F1195" s="5" t="s">
        <v>1347</v>
      </c>
      <c r="G1195" s="5" t="s">
        <v>39</v>
      </c>
      <c r="H1195" s="5" t="s">
        <v>40</v>
      </c>
      <c r="I1195" s="5" t="s">
        <v>796</v>
      </c>
      <c r="J1195" s="5" t="n">
        <v>4</v>
      </c>
      <c r="K1195" s="5"/>
      <c r="L1195" s="6"/>
      <c r="M1195" s="6"/>
      <c r="N1195" s="6"/>
      <c r="O1195" s="6"/>
      <c r="P1195" s="5" t="str">
        <f aca="false">IF(M1195="","",ROUND(M1195*IFERROR(INDEX(Weights!$B$2:$B$4,MATCH(G1195,Weights!$A$2:$A$4,0)),0)*IFERROR(INDEX(Weights!$B$7:$B$11,MATCH(E1195,Weights!$A$7:$A$11,0)),0)*IFERROR(INDEX(Weights!$B$14:$B$17,MATCH(TEXT(J1195,"0"),Weights!$A$14:$A$17,0)),0)/(1+N(N1195)/50),1))</f>
        <v/>
      </c>
      <c r="Q1195" s="5" t="s">
        <v>42</v>
      </c>
    </row>
    <row r="1196" customFormat="false" ht="15" hidden="false" customHeight="false" outlineLevel="0" collapsed="false">
      <c r="A1196" s="5" t="n">
        <v>1195</v>
      </c>
      <c r="B1196" s="5" t="s">
        <v>1369</v>
      </c>
      <c r="C1196" s="5" t="s">
        <v>64</v>
      </c>
      <c r="D1196" s="5" t="s">
        <v>36</v>
      </c>
      <c r="E1196" s="5" t="s">
        <v>1291</v>
      </c>
      <c r="F1196" s="5" t="s">
        <v>1347</v>
      </c>
      <c r="G1196" s="5" t="s">
        <v>39</v>
      </c>
      <c r="H1196" s="5" t="s">
        <v>40</v>
      </c>
      <c r="I1196" s="5" t="s">
        <v>796</v>
      </c>
      <c r="J1196" s="5" t="n">
        <v>4</v>
      </c>
      <c r="K1196" s="5"/>
      <c r="L1196" s="6"/>
      <c r="M1196" s="6"/>
      <c r="N1196" s="6"/>
      <c r="O1196" s="6"/>
      <c r="P1196" s="5" t="str">
        <f aca="false">IF(M1196="","",ROUND(M1196*IFERROR(INDEX(Weights!$B$2:$B$4,MATCH(G1196,Weights!$A$2:$A$4,0)),0)*IFERROR(INDEX(Weights!$B$7:$B$11,MATCH(E1196,Weights!$A$7:$A$11,0)),0)*IFERROR(INDEX(Weights!$B$14:$B$17,MATCH(TEXT(J1196,"0"),Weights!$A$14:$A$17,0)),0)/(1+N(N1196)/50),1))</f>
        <v/>
      </c>
      <c r="Q1196" s="5" t="s">
        <v>42</v>
      </c>
    </row>
    <row r="1197" customFormat="false" ht="15" hidden="false" customHeight="false" outlineLevel="0" collapsed="false">
      <c r="A1197" s="5" t="n">
        <v>1196</v>
      </c>
      <c r="B1197" s="5" t="s">
        <v>1370</v>
      </c>
      <c r="C1197" s="5" t="s">
        <v>61</v>
      </c>
      <c r="D1197" s="5" t="s">
        <v>36</v>
      </c>
      <c r="E1197" s="5" t="s">
        <v>1291</v>
      </c>
      <c r="F1197" s="5" t="s">
        <v>1347</v>
      </c>
      <c r="G1197" s="5" t="s">
        <v>39</v>
      </c>
      <c r="H1197" s="5" t="s">
        <v>40</v>
      </c>
      <c r="I1197" s="5" t="s">
        <v>796</v>
      </c>
      <c r="J1197" s="5" t="n">
        <v>4</v>
      </c>
      <c r="K1197" s="5"/>
      <c r="L1197" s="6"/>
      <c r="M1197" s="6"/>
      <c r="N1197" s="6"/>
      <c r="O1197" s="6"/>
      <c r="P1197" s="5" t="str">
        <f aca="false">IF(M1197="","",ROUND(M1197*IFERROR(INDEX(Weights!$B$2:$B$4,MATCH(G1197,Weights!$A$2:$A$4,0)),0)*IFERROR(INDEX(Weights!$B$7:$B$11,MATCH(E1197,Weights!$A$7:$A$11,0)),0)*IFERROR(INDEX(Weights!$B$14:$B$17,MATCH(TEXT(J1197,"0"),Weights!$A$14:$A$17,0)),0)/(1+N(N1197)/50),1))</f>
        <v/>
      </c>
      <c r="Q1197" s="5" t="s">
        <v>42</v>
      </c>
    </row>
    <row r="1198" customFormat="false" ht="15" hidden="false" customHeight="false" outlineLevel="0" collapsed="false">
      <c r="A1198" s="5" t="n">
        <v>1197</v>
      </c>
      <c r="B1198" s="5" t="s">
        <v>1371</v>
      </c>
      <c r="C1198" s="5" t="s">
        <v>66</v>
      </c>
      <c r="D1198" s="5" t="s">
        <v>36</v>
      </c>
      <c r="E1198" s="5" t="s">
        <v>1291</v>
      </c>
      <c r="F1198" s="5" t="s">
        <v>1347</v>
      </c>
      <c r="G1198" s="5" t="s">
        <v>39</v>
      </c>
      <c r="H1198" s="5" t="s">
        <v>40</v>
      </c>
      <c r="I1198" s="5" t="s">
        <v>796</v>
      </c>
      <c r="J1198" s="5" t="n">
        <v>4</v>
      </c>
      <c r="K1198" s="5"/>
      <c r="L1198" s="6"/>
      <c r="M1198" s="6"/>
      <c r="N1198" s="6"/>
      <c r="O1198" s="6"/>
      <c r="P1198" s="5" t="str">
        <f aca="false">IF(M1198="","",ROUND(M1198*IFERROR(INDEX(Weights!$B$2:$B$4,MATCH(G1198,Weights!$A$2:$A$4,0)),0)*IFERROR(INDEX(Weights!$B$7:$B$11,MATCH(E1198,Weights!$A$7:$A$11,0)),0)*IFERROR(INDEX(Weights!$B$14:$B$17,MATCH(TEXT(J1198,"0"),Weights!$A$14:$A$17,0)),0)/(1+N(N1198)/50),1))</f>
        <v/>
      </c>
      <c r="Q1198" s="5" t="s">
        <v>42</v>
      </c>
    </row>
    <row r="1199" customFormat="false" ht="15" hidden="false" customHeight="false" outlineLevel="0" collapsed="false">
      <c r="A1199" s="5" t="n">
        <v>1198</v>
      </c>
      <c r="B1199" s="5" t="s">
        <v>1372</v>
      </c>
      <c r="C1199" s="5" t="s">
        <v>69</v>
      </c>
      <c r="D1199" s="5" t="s">
        <v>36</v>
      </c>
      <c r="E1199" s="5" t="s">
        <v>1291</v>
      </c>
      <c r="F1199" s="5" t="s">
        <v>1347</v>
      </c>
      <c r="G1199" s="5" t="s">
        <v>39</v>
      </c>
      <c r="H1199" s="5" t="s">
        <v>40</v>
      </c>
      <c r="I1199" s="5" t="s">
        <v>796</v>
      </c>
      <c r="J1199" s="5" t="n">
        <v>4</v>
      </c>
      <c r="K1199" s="5"/>
      <c r="L1199" s="6"/>
      <c r="M1199" s="6"/>
      <c r="N1199" s="6"/>
      <c r="O1199" s="6"/>
      <c r="P1199" s="5" t="str">
        <f aca="false">IF(M1199="","",ROUND(M1199*IFERROR(INDEX(Weights!$B$2:$B$4,MATCH(G1199,Weights!$A$2:$A$4,0)),0)*IFERROR(INDEX(Weights!$B$7:$B$11,MATCH(E1199,Weights!$A$7:$A$11,0)),0)*IFERROR(INDEX(Weights!$B$14:$B$17,MATCH(TEXT(J1199,"0"),Weights!$A$14:$A$17,0)),0)/(1+N(N1199)/50),1))</f>
        <v/>
      </c>
      <c r="Q1199" s="5" t="s">
        <v>42</v>
      </c>
    </row>
    <row r="1200" customFormat="false" ht="15" hidden="false" customHeight="false" outlineLevel="0" collapsed="false">
      <c r="A1200" s="5" t="n">
        <v>1199</v>
      </c>
      <c r="B1200" s="5" t="s">
        <v>1373</v>
      </c>
      <c r="C1200" s="5" t="s">
        <v>35</v>
      </c>
      <c r="D1200" s="5" t="s">
        <v>36</v>
      </c>
      <c r="E1200" s="5" t="s">
        <v>1291</v>
      </c>
      <c r="F1200" s="5" t="s">
        <v>1374</v>
      </c>
      <c r="G1200" s="5" t="s">
        <v>39</v>
      </c>
      <c r="H1200" s="5" t="s">
        <v>40</v>
      </c>
      <c r="I1200" s="5" t="s">
        <v>796</v>
      </c>
      <c r="J1200" s="5" t="n">
        <v>4</v>
      </c>
      <c r="K1200" s="5"/>
      <c r="L1200" s="6"/>
      <c r="M1200" s="6"/>
      <c r="N1200" s="6"/>
      <c r="O1200" s="6"/>
      <c r="P1200" s="5" t="str">
        <f aca="false">IF(M1200="","",ROUND(M1200*IFERROR(INDEX(Weights!$B$2:$B$4,MATCH(G1200,Weights!$A$2:$A$4,0)),0)*IFERROR(INDEX(Weights!$B$7:$B$11,MATCH(E1200,Weights!$A$7:$A$11,0)),0)*IFERROR(INDEX(Weights!$B$14:$B$17,MATCH(TEXT(J1200,"0"),Weights!$A$14:$A$17,0)),0)/(1+N(N1200)/50),1))</f>
        <v/>
      </c>
      <c r="Q1200" s="5" t="s">
        <v>42</v>
      </c>
    </row>
    <row r="1201" customFormat="false" ht="15" hidden="false" customHeight="false" outlineLevel="0" collapsed="false">
      <c r="A1201" s="5" t="n">
        <v>1200</v>
      </c>
      <c r="B1201" s="5" t="s">
        <v>1375</v>
      </c>
      <c r="C1201" s="5" t="s">
        <v>35</v>
      </c>
      <c r="D1201" s="5" t="s">
        <v>36</v>
      </c>
      <c r="E1201" s="5" t="s">
        <v>1291</v>
      </c>
      <c r="F1201" s="5" t="s">
        <v>1374</v>
      </c>
      <c r="G1201" s="5" t="s">
        <v>39</v>
      </c>
      <c r="H1201" s="5" t="s">
        <v>40</v>
      </c>
      <c r="I1201" s="5" t="s">
        <v>796</v>
      </c>
      <c r="J1201" s="5" t="n">
        <v>4</v>
      </c>
      <c r="K1201" s="5"/>
      <c r="L1201" s="6"/>
      <c r="M1201" s="6"/>
      <c r="N1201" s="6"/>
      <c r="O1201" s="6"/>
      <c r="P1201" s="5" t="str">
        <f aca="false">IF(M1201="","",ROUND(M1201*IFERROR(INDEX(Weights!$B$2:$B$4,MATCH(G1201,Weights!$A$2:$A$4,0)),0)*IFERROR(INDEX(Weights!$B$7:$B$11,MATCH(E1201,Weights!$A$7:$A$11,0)),0)*IFERROR(INDEX(Weights!$B$14:$B$17,MATCH(TEXT(J1201,"0"),Weights!$A$14:$A$17,0)),0)/(1+N(N1201)/50),1))</f>
        <v/>
      </c>
      <c r="Q1201" s="5" t="s">
        <v>42</v>
      </c>
    </row>
    <row r="1202" customFormat="false" ht="15" hidden="false" customHeight="false" outlineLevel="0" collapsed="false">
      <c r="A1202" s="5" t="n">
        <v>1201</v>
      </c>
      <c r="B1202" s="5" t="s">
        <v>1376</v>
      </c>
      <c r="C1202" s="5" t="s">
        <v>35</v>
      </c>
      <c r="D1202" s="5" t="s">
        <v>36</v>
      </c>
      <c r="E1202" s="5" t="s">
        <v>1291</v>
      </c>
      <c r="F1202" s="5" t="s">
        <v>1374</v>
      </c>
      <c r="G1202" s="5" t="s">
        <v>39</v>
      </c>
      <c r="H1202" s="5" t="s">
        <v>40</v>
      </c>
      <c r="I1202" s="5" t="s">
        <v>796</v>
      </c>
      <c r="J1202" s="5" t="n">
        <v>4</v>
      </c>
      <c r="K1202" s="5"/>
      <c r="L1202" s="6"/>
      <c r="M1202" s="6"/>
      <c r="N1202" s="6"/>
      <c r="O1202" s="6"/>
      <c r="P1202" s="5" t="str">
        <f aca="false">IF(M1202="","",ROUND(M1202*IFERROR(INDEX(Weights!$B$2:$B$4,MATCH(G1202,Weights!$A$2:$A$4,0)),0)*IFERROR(INDEX(Weights!$B$7:$B$11,MATCH(E1202,Weights!$A$7:$A$11,0)),0)*IFERROR(INDEX(Weights!$B$14:$B$17,MATCH(TEXT(J1202,"0"),Weights!$A$14:$A$17,0)),0)/(1+N(N1202)/50),1))</f>
        <v/>
      </c>
      <c r="Q1202" s="5" t="s">
        <v>42</v>
      </c>
    </row>
    <row r="1203" customFormat="false" ht="15" hidden="false" customHeight="false" outlineLevel="0" collapsed="false">
      <c r="A1203" s="5" t="n">
        <v>1202</v>
      </c>
      <c r="B1203" s="5" t="s">
        <v>1377</v>
      </c>
      <c r="C1203" s="5" t="s">
        <v>47</v>
      </c>
      <c r="D1203" s="5" t="s">
        <v>36</v>
      </c>
      <c r="E1203" s="5" t="s">
        <v>1291</v>
      </c>
      <c r="F1203" s="5" t="s">
        <v>1374</v>
      </c>
      <c r="G1203" s="5" t="s">
        <v>39</v>
      </c>
      <c r="H1203" s="5" t="s">
        <v>40</v>
      </c>
      <c r="I1203" s="5" t="s">
        <v>796</v>
      </c>
      <c r="J1203" s="5" t="n">
        <v>4</v>
      </c>
      <c r="K1203" s="5"/>
      <c r="L1203" s="6"/>
      <c r="M1203" s="6"/>
      <c r="N1203" s="6"/>
      <c r="O1203" s="6"/>
      <c r="P1203" s="5" t="str">
        <f aca="false">IF(M1203="","",ROUND(M1203*IFERROR(INDEX(Weights!$B$2:$B$4,MATCH(G1203,Weights!$A$2:$A$4,0)),0)*IFERROR(INDEX(Weights!$B$7:$B$11,MATCH(E1203,Weights!$A$7:$A$11,0)),0)*IFERROR(INDEX(Weights!$B$14:$B$17,MATCH(TEXT(J1203,"0"),Weights!$A$14:$A$17,0)),0)/(1+N(N1203)/50),1))</f>
        <v/>
      </c>
      <c r="Q1203" s="5" t="s">
        <v>42</v>
      </c>
    </row>
    <row r="1204" customFormat="false" ht="15" hidden="false" customHeight="false" outlineLevel="0" collapsed="false">
      <c r="A1204" s="5" t="n">
        <v>1203</v>
      </c>
      <c r="B1204" s="5" t="s">
        <v>1378</v>
      </c>
      <c r="C1204" s="5" t="s">
        <v>47</v>
      </c>
      <c r="D1204" s="5" t="s">
        <v>36</v>
      </c>
      <c r="E1204" s="5" t="s">
        <v>1291</v>
      </c>
      <c r="F1204" s="5" t="s">
        <v>1374</v>
      </c>
      <c r="G1204" s="5" t="s">
        <v>39</v>
      </c>
      <c r="H1204" s="5" t="s">
        <v>40</v>
      </c>
      <c r="I1204" s="5" t="s">
        <v>796</v>
      </c>
      <c r="J1204" s="5" t="n">
        <v>4</v>
      </c>
      <c r="K1204" s="5"/>
      <c r="L1204" s="6"/>
      <c r="M1204" s="6"/>
      <c r="N1204" s="6"/>
      <c r="O1204" s="6"/>
      <c r="P1204" s="5" t="str">
        <f aca="false">IF(M1204="","",ROUND(M1204*IFERROR(INDEX(Weights!$B$2:$B$4,MATCH(G1204,Weights!$A$2:$A$4,0)),0)*IFERROR(INDEX(Weights!$B$7:$B$11,MATCH(E1204,Weights!$A$7:$A$11,0)),0)*IFERROR(INDEX(Weights!$B$14:$B$17,MATCH(TEXT(J1204,"0"),Weights!$A$14:$A$17,0)),0)/(1+N(N1204)/50),1))</f>
        <v/>
      </c>
      <c r="Q1204" s="5" t="s">
        <v>42</v>
      </c>
    </row>
    <row r="1205" customFormat="false" ht="15" hidden="false" customHeight="false" outlineLevel="0" collapsed="false">
      <c r="A1205" s="5" t="n">
        <v>1204</v>
      </c>
      <c r="B1205" s="5" t="s">
        <v>1379</v>
      </c>
      <c r="C1205" s="5" t="s">
        <v>47</v>
      </c>
      <c r="D1205" s="5" t="s">
        <v>36</v>
      </c>
      <c r="E1205" s="5" t="s">
        <v>1291</v>
      </c>
      <c r="F1205" s="5" t="s">
        <v>1374</v>
      </c>
      <c r="G1205" s="5" t="s">
        <v>39</v>
      </c>
      <c r="H1205" s="5" t="s">
        <v>40</v>
      </c>
      <c r="I1205" s="5" t="s">
        <v>796</v>
      </c>
      <c r="J1205" s="5" t="n">
        <v>4</v>
      </c>
      <c r="K1205" s="5"/>
      <c r="L1205" s="6"/>
      <c r="M1205" s="6"/>
      <c r="N1205" s="6"/>
      <c r="O1205" s="6"/>
      <c r="P1205" s="5" t="str">
        <f aca="false">IF(M1205="","",ROUND(M1205*IFERROR(INDEX(Weights!$B$2:$B$4,MATCH(G1205,Weights!$A$2:$A$4,0)),0)*IFERROR(INDEX(Weights!$B$7:$B$11,MATCH(E1205,Weights!$A$7:$A$11,0)),0)*IFERROR(INDEX(Weights!$B$14:$B$17,MATCH(TEXT(J1205,"0"),Weights!$A$14:$A$17,0)),0)/(1+N(N1205)/50),1))</f>
        <v/>
      </c>
      <c r="Q1205" s="5" t="s">
        <v>42</v>
      </c>
    </row>
    <row r="1206" customFormat="false" ht="15" hidden="false" customHeight="false" outlineLevel="0" collapsed="false">
      <c r="A1206" s="5" t="n">
        <v>1205</v>
      </c>
      <c r="B1206" s="5" t="s">
        <v>1380</v>
      </c>
      <c r="C1206" s="5" t="s">
        <v>47</v>
      </c>
      <c r="D1206" s="5" t="s">
        <v>36</v>
      </c>
      <c r="E1206" s="5" t="s">
        <v>1291</v>
      </c>
      <c r="F1206" s="5" t="s">
        <v>1374</v>
      </c>
      <c r="G1206" s="5" t="s">
        <v>39</v>
      </c>
      <c r="H1206" s="5" t="s">
        <v>40</v>
      </c>
      <c r="I1206" s="5" t="s">
        <v>796</v>
      </c>
      <c r="J1206" s="5" t="n">
        <v>4</v>
      </c>
      <c r="K1206" s="5"/>
      <c r="L1206" s="6"/>
      <c r="M1206" s="6"/>
      <c r="N1206" s="6"/>
      <c r="O1206" s="6"/>
      <c r="P1206" s="5" t="str">
        <f aca="false">IF(M1206="","",ROUND(M1206*IFERROR(INDEX(Weights!$B$2:$B$4,MATCH(G1206,Weights!$A$2:$A$4,0)),0)*IFERROR(INDEX(Weights!$B$7:$B$11,MATCH(E1206,Weights!$A$7:$A$11,0)),0)*IFERROR(INDEX(Weights!$B$14:$B$17,MATCH(TEXT(J1206,"0"),Weights!$A$14:$A$17,0)),0)/(1+N(N1206)/50),1))</f>
        <v/>
      </c>
      <c r="Q1206" s="5" t="s">
        <v>42</v>
      </c>
    </row>
    <row r="1207" customFormat="false" ht="15" hidden="false" customHeight="false" outlineLevel="0" collapsed="false">
      <c r="A1207" s="5" t="n">
        <v>1206</v>
      </c>
      <c r="B1207" s="5" t="s">
        <v>1381</v>
      </c>
      <c r="C1207" s="5" t="s">
        <v>51</v>
      </c>
      <c r="D1207" s="5" t="s">
        <v>36</v>
      </c>
      <c r="E1207" s="5" t="s">
        <v>1291</v>
      </c>
      <c r="F1207" s="5" t="s">
        <v>1374</v>
      </c>
      <c r="G1207" s="5" t="s">
        <v>39</v>
      </c>
      <c r="H1207" s="5" t="s">
        <v>40</v>
      </c>
      <c r="I1207" s="5" t="s">
        <v>796</v>
      </c>
      <c r="J1207" s="5" t="n">
        <v>4</v>
      </c>
      <c r="K1207" s="5"/>
      <c r="L1207" s="6"/>
      <c r="M1207" s="6"/>
      <c r="N1207" s="6"/>
      <c r="O1207" s="6"/>
      <c r="P1207" s="5" t="str">
        <f aca="false">IF(M1207="","",ROUND(M1207*IFERROR(INDEX(Weights!$B$2:$B$4,MATCH(G1207,Weights!$A$2:$A$4,0)),0)*IFERROR(INDEX(Weights!$B$7:$B$11,MATCH(E1207,Weights!$A$7:$A$11,0)),0)*IFERROR(INDEX(Weights!$B$14:$B$17,MATCH(TEXT(J1207,"0"),Weights!$A$14:$A$17,0)),0)/(1+N(N1207)/50),1))</f>
        <v/>
      </c>
      <c r="Q1207" s="5" t="s">
        <v>42</v>
      </c>
    </row>
    <row r="1208" customFormat="false" ht="15" hidden="false" customHeight="false" outlineLevel="0" collapsed="false">
      <c r="A1208" s="5" t="n">
        <v>1207</v>
      </c>
      <c r="B1208" s="5" t="s">
        <v>1382</v>
      </c>
      <c r="C1208" s="5" t="s">
        <v>51</v>
      </c>
      <c r="D1208" s="5" t="s">
        <v>36</v>
      </c>
      <c r="E1208" s="5" t="s">
        <v>1291</v>
      </c>
      <c r="F1208" s="5" t="s">
        <v>1374</v>
      </c>
      <c r="G1208" s="5" t="s">
        <v>39</v>
      </c>
      <c r="H1208" s="5" t="s">
        <v>40</v>
      </c>
      <c r="I1208" s="5" t="s">
        <v>796</v>
      </c>
      <c r="J1208" s="5" t="n">
        <v>4</v>
      </c>
      <c r="K1208" s="5"/>
      <c r="L1208" s="6"/>
      <c r="M1208" s="6"/>
      <c r="N1208" s="6"/>
      <c r="O1208" s="6"/>
      <c r="P1208" s="5" t="str">
        <f aca="false">IF(M1208="","",ROUND(M1208*IFERROR(INDEX(Weights!$B$2:$B$4,MATCH(G1208,Weights!$A$2:$A$4,0)),0)*IFERROR(INDEX(Weights!$B$7:$B$11,MATCH(E1208,Weights!$A$7:$A$11,0)),0)*IFERROR(INDEX(Weights!$B$14:$B$17,MATCH(TEXT(J1208,"0"),Weights!$A$14:$A$17,0)),0)/(1+N(N1208)/50),1))</f>
        <v/>
      </c>
      <c r="Q1208" s="5" t="s">
        <v>42</v>
      </c>
    </row>
    <row r="1209" customFormat="false" ht="15" hidden="false" customHeight="false" outlineLevel="0" collapsed="false">
      <c r="A1209" s="5" t="n">
        <v>1208</v>
      </c>
      <c r="B1209" s="5" t="s">
        <v>1383</v>
      </c>
      <c r="C1209" s="5" t="s">
        <v>51</v>
      </c>
      <c r="D1209" s="5" t="s">
        <v>36</v>
      </c>
      <c r="E1209" s="5" t="s">
        <v>1291</v>
      </c>
      <c r="F1209" s="5" t="s">
        <v>1374</v>
      </c>
      <c r="G1209" s="5" t="s">
        <v>39</v>
      </c>
      <c r="H1209" s="5" t="s">
        <v>40</v>
      </c>
      <c r="I1209" s="5" t="s">
        <v>796</v>
      </c>
      <c r="J1209" s="5" t="n">
        <v>4</v>
      </c>
      <c r="K1209" s="5"/>
      <c r="L1209" s="6"/>
      <c r="M1209" s="6"/>
      <c r="N1209" s="6"/>
      <c r="O1209" s="6"/>
      <c r="P1209" s="5" t="str">
        <f aca="false">IF(M1209="","",ROUND(M1209*IFERROR(INDEX(Weights!$B$2:$B$4,MATCH(G1209,Weights!$A$2:$A$4,0)),0)*IFERROR(INDEX(Weights!$B$7:$B$11,MATCH(E1209,Weights!$A$7:$A$11,0)),0)*IFERROR(INDEX(Weights!$B$14:$B$17,MATCH(TEXT(J1209,"0"),Weights!$A$14:$A$17,0)),0)/(1+N(N1209)/50),1))</f>
        <v/>
      </c>
      <c r="Q1209" s="5" t="s">
        <v>42</v>
      </c>
    </row>
    <row r="1210" customFormat="false" ht="15" hidden="false" customHeight="false" outlineLevel="0" collapsed="false">
      <c r="A1210" s="5" t="n">
        <v>1209</v>
      </c>
      <c r="B1210" s="5" t="s">
        <v>1384</v>
      </c>
      <c r="C1210" s="5" t="s">
        <v>54</v>
      </c>
      <c r="D1210" s="5" t="s">
        <v>36</v>
      </c>
      <c r="E1210" s="5" t="s">
        <v>1291</v>
      </c>
      <c r="F1210" s="5" t="s">
        <v>1374</v>
      </c>
      <c r="G1210" s="5" t="s">
        <v>39</v>
      </c>
      <c r="H1210" s="5" t="s">
        <v>40</v>
      </c>
      <c r="I1210" s="5" t="s">
        <v>796</v>
      </c>
      <c r="J1210" s="5" t="n">
        <v>4</v>
      </c>
      <c r="K1210" s="5"/>
      <c r="L1210" s="6"/>
      <c r="M1210" s="6"/>
      <c r="N1210" s="6"/>
      <c r="O1210" s="6"/>
      <c r="P1210" s="5" t="str">
        <f aca="false">IF(M1210="","",ROUND(M1210*IFERROR(INDEX(Weights!$B$2:$B$4,MATCH(G1210,Weights!$A$2:$A$4,0)),0)*IFERROR(INDEX(Weights!$B$7:$B$11,MATCH(E1210,Weights!$A$7:$A$11,0)),0)*IFERROR(INDEX(Weights!$B$14:$B$17,MATCH(TEXT(J1210,"0"),Weights!$A$14:$A$17,0)),0)/(1+N(N1210)/50),1))</f>
        <v/>
      </c>
      <c r="Q1210" s="5" t="s">
        <v>42</v>
      </c>
    </row>
    <row r="1211" customFormat="false" ht="15" hidden="false" customHeight="false" outlineLevel="0" collapsed="false">
      <c r="A1211" s="5" t="n">
        <v>1210</v>
      </c>
      <c r="B1211" s="5" t="s">
        <v>1385</v>
      </c>
      <c r="C1211" s="5" t="s">
        <v>54</v>
      </c>
      <c r="D1211" s="5" t="s">
        <v>36</v>
      </c>
      <c r="E1211" s="5" t="s">
        <v>1291</v>
      </c>
      <c r="F1211" s="5" t="s">
        <v>1374</v>
      </c>
      <c r="G1211" s="5" t="s">
        <v>39</v>
      </c>
      <c r="H1211" s="5" t="s">
        <v>40</v>
      </c>
      <c r="I1211" s="5" t="s">
        <v>796</v>
      </c>
      <c r="J1211" s="5" t="n">
        <v>4</v>
      </c>
      <c r="K1211" s="5"/>
      <c r="L1211" s="6"/>
      <c r="M1211" s="6"/>
      <c r="N1211" s="6"/>
      <c r="O1211" s="6"/>
      <c r="P1211" s="5" t="str">
        <f aca="false">IF(M1211="","",ROUND(M1211*IFERROR(INDEX(Weights!$B$2:$B$4,MATCH(G1211,Weights!$A$2:$A$4,0)),0)*IFERROR(INDEX(Weights!$B$7:$B$11,MATCH(E1211,Weights!$A$7:$A$11,0)),0)*IFERROR(INDEX(Weights!$B$14:$B$17,MATCH(TEXT(J1211,"0"),Weights!$A$14:$A$17,0)),0)/(1+N(N1211)/50),1))</f>
        <v/>
      </c>
      <c r="Q1211" s="5" t="s">
        <v>42</v>
      </c>
    </row>
    <row r="1212" customFormat="false" ht="15" hidden="false" customHeight="false" outlineLevel="0" collapsed="false">
      <c r="A1212" s="5" t="n">
        <v>1211</v>
      </c>
      <c r="B1212" s="5" t="s">
        <v>1386</v>
      </c>
      <c r="C1212" s="5" t="s">
        <v>57</v>
      </c>
      <c r="D1212" s="5" t="s">
        <v>36</v>
      </c>
      <c r="E1212" s="5" t="s">
        <v>1291</v>
      </c>
      <c r="F1212" s="5" t="s">
        <v>1374</v>
      </c>
      <c r="G1212" s="5" t="s">
        <v>39</v>
      </c>
      <c r="H1212" s="5" t="s">
        <v>40</v>
      </c>
      <c r="I1212" s="5" t="s">
        <v>796</v>
      </c>
      <c r="J1212" s="5" t="n">
        <v>4</v>
      </c>
      <c r="K1212" s="5"/>
      <c r="L1212" s="6"/>
      <c r="M1212" s="6"/>
      <c r="N1212" s="6"/>
      <c r="O1212" s="6"/>
      <c r="P1212" s="5" t="str">
        <f aca="false">IF(M1212="","",ROUND(M1212*IFERROR(INDEX(Weights!$B$2:$B$4,MATCH(G1212,Weights!$A$2:$A$4,0)),0)*IFERROR(INDEX(Weights!$B$7:$B$11,MATCH(E1212,Weights!$A$7:$A$11,0)),0)*IFERROR(INDEX(Weights!$B$14:$B$17,MATCH(TEXT(J1212,"0"),Weights!$A$14:$A$17,0)),0)/(1+N(N1212)/50),1))</f>
        <v/>
      </c>
      <c r="Q1212" s="5" t="s">
        <v>42</v>
      </c>
    </row>
    <row r="1213" customFormat="false" ht="15" hidden="false" customHeight="false" outlineLevel="0" collapsed="false">
      <c r="A1213" s="5" t="n">
        <v>1212</v>
      </c>
      <c r="B1213" s="5" t="s">
        <v>1387</v>
      </c>
      <c r="C1213" s="5" t="s">
        <v>57</v>
      </c>
      <c r="D1213" s="5" t="s">
        <v>36</v>
      </c>
      <c r="E1213" s="5" t="s">
        <v>1291</v>
      </c>
      <c r="F1213" s="5" t="s">
        <v>1374</v>
      </c>
      <c r="G1213" s="5" t="s">
        <v>39</v>
      </c>
      <c r="H1213" s="5" t="s">
        <v>40</v>
      </c>
      <c r="I1213" s="5" t="s">
        <v>796</v>
      </c>
      <c r="J1213" s="5" t="n">
        <v>4</v>
      </c>
      <c r="K1213" s="5"/>
      <c r="L1213" s="6"/>
      <c r="M1213" s="6"/>
      <c r="N1213" s="6"/>
      <c r="O1213" s="6"/>
      <c r="P1213" s="5" t="str">
        <f aca="false">IF(M1213="","",ROUND(M1213*IFERROR(INDEX(Weights!$B$2:$B$4,MATCH(G1213,Weights!$A$2:$A$4,0)),0)*IFERROR(INDEX(Weights!$B$7:$B$11,MATCH(E1213,Weights!$A$7:$A$11,0)),0)*IFERROR(INDEX(Weights!$B$14:$B$17,MATCH(TEXT(J1213,"0"),Weights!$A$14:$A$17,0)),0)/(1+N(N1213)/50),1))</f>
        <v/>
      </c>
      <c r="Q1213" s="5" t="s">
        <v>42</v>
      </c>
    </row>
    <row r="1214" customFormat="false" ht="15" hidden="false" customHeight="false" outlineLevel="0" collapsed="false">
      <c r="A1214" s="5" t="n">
        <v>1213</v>
      </c>
      <c r="B1214" s="5" t="s">
        <v>1388</v>
      </c>
      <c r="C1214" s="5" t="s">
        <v>57</v>
      </c>
      <c r="D1214" s="5" t="s">
        <v>36</v>
      </c>
      <c r="E1214" s="5" t="s">
        <v>1291</v>
      </c>
      <c r="F1214" s="5" t="s">
        <v>1374</v>
      </c>
      <c r="G1214" s="5" t="s">
        <v>39</v>
      </c>
      <c r="H1214" s="5" t="s">
        <v>40</v>
      </c>
      <c r="I1214" s="5" t="s">
        <v>796</v>
      </c>
      <c r="J1214" s="5" t="n">
        <v>4</v>
      </c>
      <c r="K1214" s="5"/>
      <c r="L1214" s="6"/>
      <c r="M1214" s="6"/>
      <c r="N1214" s="6"/>
      <c r="O1214" s="6"/>
      <c r="P1214" s="5" t="str">
        <f aca="false">IF(M1214="","",ROUND(M1214*IFERROR(INDEX(Weights!$B$2:$B$4,MATCH(G1214,Weights!$A$2:$A$4,0)),0)*IFERROR(INDEX(Weights!$B$7:$B$11,MATCH(E1214,Weights!$A$7:$A$11,0)),0)*IFERROR(INDEX(Weights!$B$14:$B$17,MATCH(TEXT(J1214,"0"),Weights!$A$14:$A$17,0)),0)/(1+N(N1214)/50),1))</f>
        <v/>
      </c>
      <c r="Q1214" s="5" t="s">
        <v>42</v>
      </c>
    </row>
    <row r="1215" customFormat="false" ht="15" hidden="false" customHeight="false" outlineLevel="0" collapsed="false">
      <c r="A1215" s="5" t="n">
        <v>1214</v>
      </c>
      <c r="B1215" s="5" t="s">
        <v>1389</v>
      </c>
      <c r="C1215" s="5" t="s">
        <v>464</v>
      </c>
      <c r="D1215" s="5" t="s">
        <v>36</v>
      </c>
      <c r="E1215" s="5" t="s">
        <v>1291</v>
      </c>
      <c r="F1215" s="5" t="s">
        <v>1374</v>
      </c>
      <c r="G1215" s="5" t="s">
        <v>39</v>
      </c>
      <c r="H1215" s="5" t="s">
        <v>40</v>
      </c>
      <c r="I1215" s="5" t="s">
        <v>796</v>
      </c>
      <c r="J1215" s="5" t="n">
        <v>4</v>
      </c>
      <c r="K1215" s="5"/>
      <c r="L1215" s="6"/>
      <c r="M1215" s="6"/>
      <c r="N1215" s="6"/>
      <c r="O1215" s="6"/>
      <c r="P1215" s="5" t="str">
        <f aca="false">IF(M1215="","",ROUND(M1215*IFERROR(INDEX(Weights!$B$2:$B$4,MATCH(G1215,Weights!$A$2:$A$4,0)),0)*IFERROR(INDEX(Weights!$B$7:$B$11,MATCH(E1215,Weights!$A$7:$A$11,0)),0)*IFERROR(INDEX(Weights!$B$14:$B$17,MATCH(TEXT(J1215,"0"),Weights!$A$14:$A$17,0)),0)/(1+N(N1215)/50),1))</f>
        <v/>
      </c>
      <c r="Q1215" s="5" t="s">
        <v>42</v>
      </c>
    </row>
    <row r="1216" customFormat="false" ht="15" hidden="false" customHeight="false" outlineLevel="0" collapsed="false">
      <c r="A1216" s="5" t="n">
        <v>1215</v>
      </c>
      <c r="B1216" s="5" t="s">
        <v>1390</v>
      </c>
      <c r="C1216" s="5" t="s">
        <v>464</v>
      </c>
      <c r="D1216" s="5" t="s">
        <v>36</v>
      </c>
      <c r="E1216" s="5" t="s">
        <v>1291</v>
      </c>
      <c r="F1216" s="5" t="s">
        <v>1374</v>
      </c>
      <c r="G1216" s="5" t="s">
        <v>39</v>
      </c>
      <c r="H1216" s="5" t="s">
        <v>40</v>
      </c>
      <c r="I1216" s="5" t="s">
        <v>796</v>
      </c>
      <c r="J1216" s="5" t="n">
        <v>4</v>
      </c>
      <c r="K1216" s="5"/>
      <c r="L1216" s="6"/>
      <c r="M1216" s="6"/>
      <c r="N1216" s="6"/>
      <c r="O1216" s="6"/>
      <c r="P1216" s="5" t="str">
        <f aca="false">IF(M1216="","",ROUND(M1216*IFERROR(INDEX(Weights!$B$2:$B$4,MATCH(G1216,Weights!$A$2:$A$4,0)),0)*IFERROR(INDEX(Weights!$B$7:$B$11,MATCH(E1216,Weights!$A$7:$A$11,0)),0)*IFERROR(INDEX(Weights!$B$14:$B$17,MATCH(TEXT(J1216,"0"),Weights!$A$14:$A$17,0)),0)/(1+N(N1216)/50),1))</f>
        <v/>
      </c>
      <c r="Q1216" s="5" t="s">
        <v>42</v>
      </c>
    </row>
    <row r="1217" customFormat="false" ht="15" hidden="false" customHeight="false" outlineLevel="0" collapsed="false">
      <c r="A1217" s="5" t="n">
        <v>1216</v>
      </c>
      <c r="B1217" s="5" t="s">
        <v>1391</v>
      </c>
      <c r="C1217" s="5" t="s">
        <v>464</v>
      </c>
      <c r="D1217" s="5" t="s">
        <v>36</v>
      </c>
      <c r="E1217" s="5" t="s">
        <v>1291</v>
      </c>
      <c r="F1217" s="5" t="s">
        <v>1374</v>
      </c>
      <c r="G1217" s="5" t="s">
        <v>39</v>
      </c>
      <c r="H1217" s="5" t="s">
        <v>40</v>
      </c>
      <c r="I1217" s="5" t="s">
        <v>796</v>
      </c>
      <c r="J1217" s="5" t="n">
        <v>4</v>
      </c>
      <c r="K1217" s="5"/>
      <c r="L1217" s="6"/>
      <c r="M1217" s="6"/>
      <c r="N1217" s="6"/>
      <c r="O1217" s="6"/>
      <c r="P1217" s="5" t="str">
        <f aca="false">IF(M1217="","",ROUND(M1217*IFERROR(INDEX(Weights!$B$2:$B$4,MATCH(G1217,Weights!$A$2:$A$4,0)),0)*IFERROR(INDEX(Weights!$B$7:$B$11,MATCH(E1217,Weights!$A$7:$A$11,0)),0)*IFERROR(INDEX(Weights!$B$14:$B$17,MATCH(TEXT(J1217,"0"),Weights!$A$14:$A$17,0)),0)/(1+N(N1217)/50),1))</f>
        <v/>
      </c>
      <c r="Q1217" s="5" t="s">
        <v>42</v>
      </c>
    </row>
    <row r="1218" customFormat="false" ht="15" hidden="false" customHeight="false" outlineLevel="0" collapsed="false">
      <c r="A1218" s="5" t="n">
        <v>1217</v>
      </c>
      <c r="B1218" s="5" t="s">
        <v>1392</v>
      </c>
      <c r="C1218" s="5" t="s">
        <v>456</v>
      </c>
      <c r="D1218" s="5" t="s">
        <v>36</v>
      </c>
      <c r="E1218" s="5" t="s">
        <v>1291</v>
      </c>
      <c r="F1218" s="5" t="s">
        <v>1374</v>
      </c>
      <c r="G1218" s="5" t="s">
        <v>39</v>
      </c>
      <c r="H1218" s="5" t="s">
        <v>40</v>
      </c>
      <c r="I1218" s="5" t="s">
        <v>796</v>
      </c>
      <c r="J1218" s="5" t="n">
        <v>4</v>
      </c>
      <c r="K1218" s="5"/>
      <c r="L1218" s="6"/>
      <c r="M1218" s="6"/>
      <c r="N1218" s="6"/>
      <c r="O1218" s="6"/>
      <c r="P1218" s="5" t="str">
        <f aca="false">IF(M1218="","",ROUND(M1218*IFERROR(INDEX(Weights!$B$2:$B$4,MATCH(G1218,Weights!$A$2:$A$4,0)),0)*IFERROR(INDEX(Weights!$B$7:$B$11,MATCH(E1218,Weights!$A$7:$A$11,0)),0)*IFERROR(INDEX(Weights!$B$14:$B$17,MATCH(TEXT(J1218,"0"),Weights!$A$14:$A$17,0)),0)/(1+N(N1218)/50),1))</f>
        <v/>
      </c>
      <c r="Q1218" s="5" t="s">
        <v>42</v>
      </c>
    </row>
    <row r="1219" customFormat="false" ht="15" hidden="false" customHeight="false" outlineLevel="0" collapsed="false">
      <c r="A1219" s="5" t="n">
        <v>1218</v>
      </c>
      <c r="B1219" s="5" t="s">
        <v>1393</v>
      </c>
      <c r="C1219" s="5" t="s">
        <v>456</v>
      </c>
      <c r="D1219" s="5" t="s">
        <v>36</v>
      </c>
      <c r="E1219" s="5" t="s">
        <v>1291</v>
      </c>
      <c r="F1219" s="5" t="s">
        <v>1374</v>
      </c>
      <c r="G1219" s="5" t="s">
        <v>39</v>
      </c>
      <c r="H1219" s="5" t="s">
        <v>40</v>
      </c>
      <c r="I1219" s="5" t="s">
        <v>796</v>
      </c>
      <c r="J1219" s="5" t="n">
        <v>4</v>
      </c>
      <c r="K1219" s="5"/>
      <c r="L1219" s="6"/>
      <c r="M1219" s="6"/>
      <c r="N1219" s="6"/>
      <c r="O1219" s="6"/>
      <c r="P1219" s="5" t="str">
        <f aca="false">IF(M1219="","",ROUND(M1219*IFERROR(INDEX(Weights!$B$2:$B$4,MATCH(G1219,Weights!$A$2:$A$4,0)),0)*IFERROR(INDEX(Weights!$B$7:$B$11,MATCH(E1219,Weights!$A$7:$A$11,0)),0)*IFERROR(INDEX(Weights!$B$14:$B$17,MATCH(TEXT(J1219,"0"),Weights!$A$14:$A$17,0)),0)/(1+N(N1219)/50),1))</f>
        <v/>
      </c>
      <c r="Q1219" s="5" t="s">
        <v>42</v>
      </c>
    </row>
    <row r="1220" customFormat="false" ht="15" hidden="false" customHeight="false" outlineLevel="0" collapsed="false">
      <c r="A1220" s="5" t="n">
        <v>1219</v>
      </c>
      <c r="B1220" s="5" t="s">
        <v>1394</v>
      </c>
      <c r="C1220" s="5" t="s">
        <v>456</v>
      </c>
      <c r="D1220" s="5" t="s">
        <v>36</v>
      </c>
      <c r="E1220" s="5" t="s">
        <v>1291</v>
      </c>
      <c r="F1220" s="5" t="s">
        <v>1374</v>
      </c>
      <c r="G1220" s="5" t="s">
        <v>39</v>
      </c>
      <c r="H1220" s="5" t="s">
        <v>40</v>
      </c>
      <c r="I1220" s="5" t="s">
        <v>796</v>
      </c>
      <c r="J1220" s="5" t="n">
        <v>4</v>
      </c>
      <c r="K1220" s="5" t="s">
        <v>1313</v>
      </c>
      <c r="L1220" s="6"/>
      <c r="M1220" s="6"/>
      <c r="N1220" s="6"/>
      <c r="O1220" s="6"/>
      <c r="P1220" s="5" t="str">
        <f aca="false">IF(M1220="","",ROUND(M1220*IFERROR(INDEX(Weights!$B$2:$B$4,MATCH(G1220,Weights!$A$2:$A$4,0)),0)*IFERROR(INDEX(Weights!$B$7:$B$11,MATCH(E1220,Weights!$A$7:$A$11,0)),0)*IFERROR(INDEX(Weights!$B$14:$B$17,MATCH(TEXT(J1220,"0"),Weights!$A$14:$A$17,0)),0)/(1+N(N1220)/50),1))</f>
        <v/>
      </c>
      <c r="Q1220" s="5" t="s">
        <v>122</v>
      </c>
    </row>
    <row r="1221" customFormat="false" ht="15" hidden="false" customHeight="false" outlineLevel="0" collapsed="false">
      <c r="A1221" s="5" t="n">
        <v>1220</v>
      </c>
      <c r="B1221" s="5" t="s">
        <v>1395</v>
      </c>
      <c r="C1221" s="5" t="s">
        <v>64</v>
      </c>
      <c r="D1221" s="5" t="s">
        <v>36</v>
      </c>
      <c r="E1221" s="5" t="s">
        <v>1291</v>
      </c>
      <c r="F1221" s="5" t="s">
        <v>1374</v>
      </c>
      <c r="G1221" s="5" t="s">
        <v>39</v>
      </c>
      <c r="H1221" s="5" t="s">
        <v>40</v>
      </c>
      <c r="I1221" s="5" t="s">
        <v>796</v>
      </c>
      <c r="J1221" s="5" t="n">
        <v>4</v>
      </c>
      <c r="K1221" s="5"/>
      <c r="L1221" s="6"/>
      <c r="M1221" s="6"/>
      <c r="N1221" s="6"/>
      <c r="O1221" s="6"/>
      <c r="P1221" s="5" t="str">
        <f aca="false">IF(M1221="","",ROUND(M1221*IFERROR(INDEX(Weights!$B$2:$B$4,MATCH(G1221,Weights!$A$2:$A$4,0)),0)*IFERROR(INDEX(Weights!$B$7:$B$11,MATCH(E1221,Weights!$A$7:$A$11,0)),0)*IFERROR(INDEX(Weights!$B$14:$B$17,MATCH(TEXT(J1221,"0"),Weights!$A$14:$A$17,0)),0)/(1+N(N1221)/50),1))</f>
        <v/>
      </c>
      <c r="Q1221" s="5" t="s">
        <v>42</v>
      </c>
    </row>
    <row r="1222" customFormat="false" ht="15" hidden="false" customHeight="false" outlineLevel="0" collapsed="false">
      <c r="A1222" s="5" t="n">
        <v>1221</v>
      </c>
      <c r="B1222" s="5" t="s">
        <v>1396</v>
      </c>
      <c r="C1222" s="5" t="s">
        <v>64</v>
      </c>
      <c r="D1222" s="5" t="s">
        <v>36</v>
      </c>
      <c r="E1222" s="5" t="s">
        <v>1291</v>
      </c>
      <c r="F1222" s="5" t="s">
        <v>1374</v>
      </c>
      <c r="G1222" s="5" t="s">
        <v>39</v>
      </c>
      <c r="H1222" s="5" t="s">
        <v>40</v>
      </c>
      <c r="I1222" s="5" t="s">
        <v>796</v>
      </c>
      <c r="J1222" s="5" t="n">
        <v>4</v>
      </c>
      <c r="K1222" s="5"/>
      <c r="L1222" s="6"/>
      <c r="M1222" s="6"/>
      <c r="N1222" s="6"/>
      <c r="O1222" s="6"/>
      <c r="P1222" s="5" t="str">
        <f aca="false">IF(M1222="","",ROUND(M1222*IFERROR(INDEX(Weights!$B$2:$B$4,MATCH(G1222,Weights!$A$2:$A$4,0)),0)*IFERROR(INDEX(Weights!$B$7:$B$11,MATCH(E1222,Weights!$A$7:$A$11,0)),0)*IFERROR(INDEX(Weights!$B$14:$B$17,MATCH(TEXT(J1222,"0"),Weights!$A$14:$A$17,0)),0)/(1+N(N1222)/50),1))</f>
        <v/>
      </c>
      <c r="Q1222" s="5" t="s">
        <v>42</v>
      </c>
    </row>
    <row r="1223" customFormat="false" ht="15" hidden="false" customHeight="false" outlineLevel="0" collapsed="false">
      <c r="A1223" s="5" t="n">
        <v>1222</v>
      </c>
      <c r="B1223" s="5" t="s">
        <v>1397</v>
      </c>
      <c r="C1223" s="5" t="s">
        <v>61</v>
      </c>
      <c r="D1223" s="5" t="s">
        <v>36</v>
      </c>
      <c r="E1223" s="5" t="s">
        <v>1291</v>
      </c>
      <c r="F1223" s="5" t="s">
        <v>1374</v>
      </c>
      <c r="G1223" s="5" t="s">
        <v>39</v>
      </c>
      <c r="H1223" s="5" t="s">
        <v>40</v>
      </c>
      <c r="I1223" s="5" t="s">
        <v>796</v>
      </c>
      <c r="J1223" s="5" t="n">
        <v>4</v>
      </c>
      <c r="K1223" s="5"/>
      <c r="L1223" s="6"/>
      <c r="M1223" s="6"/>
      <c r="N1223" s="6"/>
      <c r="O1223" s="6"/>
      <c r="P1223" s="5" t="str">
        <f aca="false">IF(M1223="","",ROUND(M1223*IFERROR(INDEX(Weights!$B$2:$B$4,MATCH(G1223,Weights!$A$2:$A$4,0)),0)*IFERROR(INDEX(Weights!$B$7:$B$11,MATCH(E1223,Weights!$A$7:$A$11,0)),0)*IFERROR(INDEX(Weights!$B$14:$B$17,MATCH(TEXT(J1223,"0"),Weights!$A$14:$A$17,0)),0)/(1+N(N1223)/50),1))</f>
        <v/>
      </c>
      <c r="Q1223" s="5" t="s">
        <v>42</v>
      </c>
    </row>
    <row r="1224" customFormat="false" ht="15" hidden="false" customHeight="false" outlineLevel="0" collapsed="false">
      <c r="A1224" s="5" t="n">
        <v>1223</v>
      </c>
      <c r="B1224" s="5" t="s">
        <v>1398</v>
      </c>
      <c r="C1224" s="5" t="s">
        <v>66</v>
      </c>
      <c r="D1224" s="5" t="s">
        <v>36</v>
      </c>
      <c r="E1224" s="5" t="s">
        <v>1291</v>
      </c>
      <c r="F1224" s="5" t="s">
        <v>1374</v>
      </c>
      <c r="G1224" s="5" t="s">
        <v>39</v>
      </c>
      <c r="H1224" s="5" t="s">
        <v>40</v>
      </c>
      <c r="I1224" s="5" t="s">
        <v>796</v>
      </c>
      <c r="J1224" s="5" t="n">
        <v>4</v>
      </c>
      <c r="K1224" s="5"/>
      <c r="L1224" s="6"/>
      <c r="M1224" s="6"/>
      <c r="N1224" s="6"/>
      <c r="O1224" s="6"/>
      <c r="P1224" s="5" t="str">
        <f aca="false">IF(M1224="","",ROUND(M1224*IFERROR(INDEX(Weights!$B$2:$B$4,MATCH(G1224,Weights!$A$2:$A$4,0)),0)*IFERROR(INDEX(Weights!$B$7:$B$11,MATCH(E1224,Weights!$A$7:$A$11,0)),0)*IFERROR(INDEX(Weights!$B$14:$B$17,MATCH(TEXT(J1224,"0"),Weights!$A$14:$A$17,0)),0)/(1+N(N1224)/50),1))</f>
        <v/>
      </c>
      <c r="Q1224" s="5" t="s">
        <v>42</v>
      </c>
    </row>
    <row r="1225" customFormat="false" ht="15" hidden="false" customHeight="false" outlineLevel="0" collapsed="false">
      <c r="A1225" s="5" t="n">
        <v>1224</v>
      </c>
      <c r="B1225" s="5" t="s">
        <v>1399</v>
      </c>
      <c r="C1225" s="5" t="s">
        <v>69</v>
      </c>
      <c r="D1225" s="5" t="s">
        <v>36</v>
      </c>
      <c r="E1225" s="5" t="s">
        <v>1291</v>
      </c>
      <c r="F1225" s="5" t="s">
        <v>1374</v>
      </c>
      <c r="G1225" s="5" t="s">
        <v>39</v>
      </c>
      <c r="H1225" s="5" t="s">
        <v>40</v>
      </c>
      <c r="I1225" s="5" t="s">
        <v>796</v>
      </c>
      <c r="J1225" s="5" t="n">
        <v>4</v>
      </c>
      <c r="K1225" s="5"/>
      <c r="L1225" s="6"/>
      <c r="M1225" s="6"/>
      <c r="N1225" s="6"/>
      <c r="O1225" s="6"/>
      <c r="P1225" s="5" t="str">
        <f aca="false">IF(M1225="","",ROUND(M1225*IFERROR(INDEX(Weights!$B$2:$B$4,MATCH(G1225,Weights!$A$2:$A$4,0)),0)*IFERROR(INDEX(Weights!$B$7:$B$11,MATCH(E1225,Weights!$A$7:$A$11,0)),0)*IFERROR(INDEX(Weights!$B$14:$B$17,MATCH(TEXT(J1225,"0"),Weights!$A$14:$A$17,0)),0)/(1+N(N1225)/50),1))</f>
        <v/>
      </c>
      <c r="Q1225" s="5" t="s">
        <v>42</v>
      </c>
    </row>
    <row r="1226" customFormat="false" ht="15" hidden="false" customHeight="false" outlineLevel="0" collapsed="false">
      <c r="A1226" s="5" t="n">
        <v>1225</v>
      </c>
      <c r="B1226" s="5" t="s">
        <v>1400</v>
      </c>
      <c r="C1226" s="5" t="s">
        <v>35</v>
      </c>
      <c r="D1226" s="5" t="s">
        <v>36</v>
      </c>
      <c r="E1226" s="5" t="s">
        <v>1291</v>
      </c>
      <c r="F1226" s="5" t="s">
        <v>1401</v>
      </c>
      <c r="G1226" s="5" t="s">
        <v>39</v>
      </c>
      <c r="H1226" s="5" t="s">
        <v>40</v>
      </c>
      <c r="I1226" s="5" t="s">
        <v>796</v>
      </c>
      <c r="J1226" s="5" t="n">
        <v>4</v>
      </c>
      <c r="K1226" s="5"/>
      <c r="L1226" s="6"/>
      <c r="M1226" s="6"/>
      <c r="N1226" s="6"/>
      <c r="O1226" s="6"/>
      <c r="P1226" s="5" t="str">
        <f aca="false">IF(M1226="","",ROUND(M1226*IFERROR(INDEX(Weights!$B$2:$B$4,MATCH(G1226,Weights!$A$2:$A$4,0)),0)*IFERROR(INDEX(Weights!$B$7:$B$11,MATCH(E1226,Weights!$A$7:$A$11,0)),0)*IFERROR(INDEX(Weights!$B$14:$B$17,MATCH(TEXT(J1226,"0"),Weights!$A$14:$A$17,0)),0)/(1+N(N1226)/50),1))</f>
        <v/>
      </c>
      <c r="Q1226" s="5" t="s">
        <v>42</v>
      </c>
    </row>
    <row r="1227" customFormat="false" ht="15" hidden="false" customHeight="false" outlineLevel="0" collapsed="false">
      <c r="A1227" s="5" t="n">
        <v>1226</v>
      </c>
      <c r="B1227" s="5" t="s">
        <v>1402</v>
      </c>
      <c r="C1227" s="5" t="s">
        <v>35</v>
      </c>
      <c r="D1227" s="5" t="s">
        <v>36</v>
      </c>
      <c r="E1227" s="5" t="s">
        <v>1291</v>
      </c>
      <c r="F1227" s="5" t="s">
        <v>1401</v>
      </c>
      <c r="G1227" s="5" t="s">
        <v>39</v>
      </c>
      <c r="H1227" s="5" t="s">
        <v>40</v>
      </c>
      <c r="I1227" s="5" t="s">
        <v>796</v>
      </c>
      <c r="J1227" s="5" t="n">
        <v>4</v>
      </c>
      <c r="K1227" s="5"/>
      <c r="L1227" s="6"/>
      <c r="M1227" s="6"/>
      <c r="N1227" s="6"/>
      <c r="O1227" s="6"/>
      <c r="P1227" s="5" t="str">
        <f aca="false">IF(M1227="","",ROUND(M1227*IFERROR(INDEX(Weights!$B$2:$B$4,MATCH(G1227,Weights!$A$2:$A$4,0)),0)*IFERROR(INDEX(Weights!$B$7:$B$11,MATCH(E1227,Weights!$A$7:$A$11,0)),0)*IFERROR(INDEX(Weights!$B$14:$B$17,MATCH(TEXT(J1227,"0"),Weights!$A$14:$A$17,0)),0)/(1+N(N1227)/50),1))</f>
        <v/>
      </c>
      <c r="Q1227" s="5" t="s">
        <v>42</v>
      </c>
    </row>
    <row r="1228" customFormat="false" ht="15" hidden="false" customHeight="false" outlineLevel="0" collapsed="false">
      <c r="A1228" s="5" t="n">
        <v>1227</v>
      </c>
      <c r="B1228" s="5" t="s">
        <v>1403</v>
      </c>
      <c r="C1228" s="5" t="s">
        <v>35</v>
      </c>
      <c r="D1228" s="5" t="s">
        <v>36</v>
      </c>
      <c r="E1228" s="5" t="s">
        <v>1291</v>
      </c>
      <c r="F1228" s="5" t="s">
        <v>1401</v>
      </c>
      <c r="G1228" s="5" t="s">
        <v>39</v>
      </c>
      <c r="H1228" s="5" t="s">
        <v>40</v>
      </c>
      <c r="I1228" s="5" t="s">
        <v>796</v>
      </c>
      <c r="J1228" s="5" t="n">
        <v>4</v>
      </c>
      <c r="K1228" s="5"/>
      <c r="L1228" s="6"/>
      <c r="M1228" s="6"/>
      <c r="N1228" s="6"/>
      <c r="O1228" s="6"/>
      <c r="P1228" s="5" t="str">
        <f aca="false">IF(M1228="","",ROUND(M1228*IFERROR(INDEX(Weights!$B$2:$B$4,MATCH(G1228,Weights!$A$2:$A$4,0)),0)*IFERROR(INDEX(Weights!$B$7:$B$11,MATCH(E1228,Weights!$A$7:$A$11,0)),0)*IFERROR(INDEX(Weights!$B$14:$B$17,MATCH(TEXT(J1228,"0"),Weights!$A$14:$A$17,0)),0)/(1+N(N1228)/50),1))</f>
        <v/>
      </c>
      <c r="Q1228" s="5" t="s">
        <v>42</v>
      </c>
    </row>
    <row r="1229" customFormat="false" ht="15" hidden="false" customHeight="false" outlineLevel="0" collapsed="false">
      <c r="A1229" s="5" t="n">
        <v>1228</v>
      </c>
      <c r="B1229" s="5" t="s">
        <v>1404</v>
      </c>
      <c r="C1229" s="5" t="s">
        <v>47</v>
      </c>
      <c r="D1229" s="5" t="s">
        <v>36</v>
      </c>
      <c r="E1229" s="5" t="s">
        <v>1291</v>
      </c>
      <c r="F1229" s="5" t="s">
        <v>1401</v>
      </c>
      <c r="G1229" s="5" t="s">
        <v>39</v>
      </c>
      <c r="H1229" s="5" t="s">
        <v>40</v>
      </c>
      <c r="I1229" s="5" t="s">
        <v>796</v>
      </c>
      <c r="J1229" s="5" t="n">
        <v>4</v>
      </c>
      <c r="K1229" s="5"/>
      <c r="L1229" s="6"/>
      <c r="M1229" s="6"/>
      <c r="N1229" s="6"/>
      <c r="O1229" s="6"/>
      <c r="P1229" s="5" t="str">
        <f aca="false">IF(M1229="","",ROUND(M1229*IFERROR(INDEX(Weights!$B$2:$B$4,MATCH(G1229,Weights!$A$2:$A$4,0)),0)*IFERROR(INDEX(Weights!$B$7:$B$11,MATCH(E1229,Weights!$A$7:$A$11,0)),0)*IFERROR(INDEX(Weights!$B$14:$B$17,MATCH(TEXT(J1229,"0"),Weights!$A$14:$A$17,0)),0)/(1+N(N1229)/50),1))</f>
        <v/>
      </c>
      <c r="Q1229" s="5" t="s">
        <v>42</v>
      </c>
    </row>
    <row r="1230" customFormat="false" ht="15" hidden="false" customHeight="false" outlineLevel="0" collapsed="false">
      <c r="A1230" s="5" t="n">
        <v>1229</v>
      </c>
      <c r="B1230" s="5" t="s">
        <v>1405</v>
      </c>
      <c r="C1230" s="5" t="s">
        <v>47</v>
      </c>
      <c r="D1230" s="5" t="s">
        <v>36</v>
      </c>
      <c r="E1230" s="5" t="s">
        <v>1291</v>
      </c>
      <c r="F1230" s="5" t="s">
        <v>1401</v>
      </c>
      <c r="G1230" s="5" t="s">
        <v>39</v>
      </c>
      <c r="H1230" s="5" t="s">
        <v>40</v>
      </c>
      <c r="I1230" s="5" t="s">
        <v>796</v>
      </c>
      <c r="J1230" s="5" t="n">
        <v>4</v>
      </c>
      <c r="K1230" s="5"/>
      <c r="L1230" s="6"/>
      <c r="M1230" s="6"/>
      <c r="N1230" s="6"/>
      <c r="O1230" s="6"/>
      <c r="P1230" s="5" t="str">
        <f aca="false">IF(M1230="","",ROUND(M1230*IFERROR(INDEX(Weights!$B$2:$B$4,MATCH(G1230,Weights!$A$2:$A$4,0)),0)*IFERROR(INDEX(Weights!$B$7:$B$11,MATCH(E1230,Weights!$A$7:$A$11,0)),0)*IFERROR(INDEX(Weights!$B$14:$B$17,MATCH(TEXT(J1230,"0"),Weights!$A$14:$A$17,0)),0)/(1+N(N1230)/50),1))</f>
        <v/>
      </c>
      <c r="Q1230" s="5" t="s">
        <v>42</v>
      </c>
    </row>
    <row r="1231" customFormat="false" ht="15" hidden="false" customHeight="false" outlineLevel="0" collapsed="false">
      <c r="A1231" s="5" t="n">
        <v>1230</v>
      </c>
      <c r="B1231" s="5" t="s">
        <v>1406</v>
      </c>
      <c r="C1231" s="5" t="s">
        <v>47</v>
      </c>
      <c r="D1231" s="5" t="s">
        <v>36</v>
      </c>
      <c r="E1231" s="5" t="s">
        <v>1291</v>
      </c>
      <c r="F1231" s="5" t="s">
        <v>1401</v>
      </c>
      <c r="G1231" s="5" t="s">
        <v>39</v>
      </c>
      <c r="H1231" s="5" t="s">
        <v>40</v>
      </c>
      <c r="I1231" s="5" t="s">
        <v>796</v>
      </c>
      <c r="J1231" s="5" t="n">
        <v>4</v>
      </c>
      <c r="K1231" s="5"/>
      <c r="L1231" s="6"/>
      <c r="M1231" s="6"/>
      <c r="N1231" s="6"/>
      <c r="O1231" s="6"/>
      <c r="P1231" s="5" t="str">
        <f aca="false">IF(M1231="","",ROUND(M1231*IFERROR(INDEX(Weights!$B$2:$B$4,MATCH(G1231,Weights!$A$2:$A$4,0)),0)*IFERROR(INDEX(Weights!$B$7:$B$11,MATCH(E1231,Weights!$A$7:$A$11,0)),0)*IFERROR(INDEX(Weights!$B$14:$B$17,MATCH(TEXT(J1231,"0"),Weights!$A$14:$A$17,0)),0)/(1+N(N1231)/50),1))</f>
        <v/>
      </c>
      <c r="Q1231" s="5" t="s">
        <v>42</v>
      </c>
    </row>
    <row r="1232" customFormat="false" ht="15" hidden="false" customHeight="false" outlineLevel="0" collapsed="false">
      <c r="A1232" s="5" t="n">
        <v>1231</v>
      </c>
      <c r="B1232" s="5" t="s">
        <v>1407</v>
      </c>
      <c r="C1232" s="5" t="s">
        <v>47</v>
      </c>
      <c r="D1232" s="5" t="s">
        <v>36</v>
      </c>
      <c r="E1232" s="5" t="s">
        <v>1291</v>
      </c>
      <c r="F1232" s="5" t="s">
        <v>1401</v>
      </c>
      <c r="G1232" s="5" t="s">
        <v>39</v>
      </c>
      <c r="H1232" s="5" t="s">
        <v>40</v>
      </c>
      <c r="I1232" s="5" t="s">
        <v>796</v>
      </c>
      <c r="J1232" s="5" t="n">
        <v>4</v>
      </c>
      <c r="K1232" s="5"/>
      <c r="L1232" s="6"/>
      <c r="M1232" s="6"/>
      <c r="N1232" s="6"/>
      <c r="O1232" s="6"/>
      <c r="P1232" s="5" t="str">
        <f aca="false">IF(M1232="","",ROUND(M1232*IFERROR(INDEX(Weights!$B$2:$B$4,MATCH(G1232,Weights!$A$2:$A$4,0)),0)*IFERROR(INDEX(Weights!$B$7:$B$11,MATCH(E1232,Weights!$A$7:$A$11,0)),0)*IFERROR(INDEX(Weights!$B$14:$B$17,MATCH(TEXT(J1232,"0"),Weights!$A$14:$A$17,0)),0)/(1+N(N1232)/50),1))</f>
        <v/>
      </c>
      <c r="Q1232" s="5" t="s">
        <v>42</v>
      </c>
    </row>
    <row r="1233" customFormat="false" ht="15" hidden="false" customHeight="false" outlineLevel="0" collapsed="false">
      <c r="A1233" s="5" t="n">
        <v>1232</v>
      </c>
      <c r="B1233" s="5" t="s">
        <v>1408</v>
      </c>
      <c r="C1233" s="5" t="s">
        <v>51</v>
      </c>
      <c r="D1233" s="5" t="s">
        <v>36</v>
      </c>
      <c r="E1233" s="5" t="s">
        <v>1291</v>
      </c>
      <c r="F1233" s="5" t="s">
        <v>1401</v>
      </c>
      <c r="G1233" s="5" t="s">
        <v>39</v>
      </c>
      <c r="H1233" s="5" t="s">
        <v>40</v>
      </c>
      <c r="I1233" s="5" t="s">
        <v>796</v>
      </c>
      <c r="J1233" s="5" t="n">
        <v>4</v>
      </c>
      <c r="K1233" s="5"/>
      <c r="L1233" s="6"/>
      <c r="M1233" s="6"/>
      <c r="N1233" s="6"/>
      <c r="O1233" s="6"/>
      <c r="P1233" s="5" t="str">
        <f aca="false">IF(M1233="","",ROUND(M1233*IFERROR(INDEX(Weights!$B$2:$B$4,MATCH(G1233,Weights!$A$2:$A$4,0)),0)*IFERROR(INDEX(Weights!$B$7:$B$11,MATCH(E1233,Weights!$A$7:$A$11,0)),0)*IFERROR(INDEX(Weights!$B$14:$B$17,MATCH(TEXT(J1233,"0"),Weights!$A$14:$A$17,0)),0)/(1+N(N1233)/50),1))</f>
        <v/>
      </c>
      <c r="Q1233" s="5" t="s">
        <v>42</v>
      </c>
    </row>
    <row r="1234" customFormat="false" ht="15" hidden="false" customHeight="false" outlineLevel="0" collapsed="false">
      <c r="A1234" s="5" t="n">
        <v>1233</v>
      </c>
      <c r="B1234" s="5" t="s">
        <v>1409</v>
      </c>
      <c r="C1234" s="5" t="s">
        <v>51</v>
      </c>
      <c r="D1234" s="5" t="s">
        <v>36</v>
      </c>
      <c r="E1234" s="5" t="s">
        <v>1291</v>
      </c>
      <c r="F1234" s="5" t="s">
        <v>1401</v>
      </c>
      <c r="G1234" s="5" t="s">
        <v>39</v>
      </c>
      <c r="H1234" s="5" t="s">
        <v>40</v>
      </c>
      <c r="I1234" s="5" t="s">
        <v>796</v>
      </c>
      <c r="J1234" s="5" t="n">
        <v>4</v>
      </c>
      <c r="K1234" s="5"/>
      <c r="L1234" s="6"/>
      <c r="M1234" s="6"/>
      <c r="N1234" s="6"/>
      <c r="O1234" s="6"/>
      <c r="P1234" s="5" t="str">
        <f aca="false">IF(M1234="","",ROUND(M1234*IFERROR(INDEX(Weights!$B$2:$B$4,MATCH(G1234,Weights!$A$2:$A$4,0)),0)*IFERROR(INDEX(Weights!$B$7:$B$11,MATCH(E1234,Weights!$A$7:$A$11,0)),0)*IFERROR(INDEX(Weights!$B$14:$B$17,MATCH(TEXT(J1234,"0"),Weights!$A$14:$A$17,0)),0)/(1+N(N1234)/50),1))</f>
        <v/>
      </c>
      <c r="Q1234" s="5" t="s">
        <v>42</v>
      </c>
    </row>
    <row r="1235" customFormat="false" ht="15" hidden="false" customHeight="false" outlineLevel="0" collapsed="false">
      <c r="A1235" s="5" t="n">
        <v>1234</v>
      </c>
      <c r="B1235" s="5" t="s">
        <v>1410</v>
      </c>
      <c r="C1235" s="5" t="s">
        <v>51</v>
      </c>
      <c r="D1235" s="5" t="s">
        <v>36</v>
      </c>
      <c r="E1235" s="5" t="s">
        <v>1291</v>
      </c>
      <c r="F1235" s="5" t="s">
        <v>1401</v>
      </c>
      <c r="G1235" s="5" t="s">
        <v>39</v>
      </c>
      <c r="H1235" s="5" t="s">
        <v>40</v>
      </c>
      <c r="I1235" s="5" t="s">
        <v>796</v>
      </c>
      <c r="J1235" s="5" t="n">
        <v>4</v>
      </c>
      <c r="K1235" s="5"/>
      <c r="L1235" s="6"/>
      <c r="M1235" s="6"/>
      <c r="N1235" s="6"/>
      <c r="O1235" s="6"/>
      <c r="P1235" s="5" t="str">
        <f aca="false">IF(M1235="","",ROUND(M1235*IFERROR(INDEX(Weights!$B$2:$B$4,MATCH(G1235,Weights!$A$2:$A$4,0)),0)*IFERROR(INDEX(Weights!$B$7:$B$11,MATCH(E1235,Weights!$A$7:$A$11,0)),0)*IFERROR(INDEX(Weights!$B$14:$B$17,MATCH(TEXT(J1235,"0"),Weights!$A$14:$A$17,0)),0)/(1+N(N1235)/50),1))</f>
        <v/>
      </c>
      <c r="Q1235" s="5" t="s">
        <v>42</v>
      </c>
    </row>
    <row r="1236" customFormat="false" ht="15" hidden="false" customHeight="false" outlineLevel="0" collapsed="false">
      <c r="A1236" s="5" t="n">
        <v>1235</v>
      </c>
      <c r="B1236" s="5" t="s">
        <v>1411</v>
      </c>
      <c r="C1236" s="5" t="s">
        <v>54</v>
      </c>
      <c r="D1236" s="5" t="s">
        <v>36</v>
      </c>
      <c r="E1236" s="5" t="s">
        <v>1291</v>
      </c>
      <c r="F1236" s="5" t="s">
        <v>1401</v>
      </c>
      <c r="G1236" s="5" t="s">
        <v>39</v>
      </c>
      <c r="H1236" s="5" t="s">
        <v>40</v>
      </c>
      <c r="I1236" s="5" t="s">
        <v>796</v>
      </c>
      <c r="J1236" s="5" t="n">
        <v>4</v>
      </c>
      <c r="K1236" s="5"/>
      <c r="L1236" s="6"/>
      <c r="M1236" s="6"/>
      <c r="N1236" s="6"/>
      <c r="O1236" s="6"/>
      <c r="P1236" s="5" t="str">
        <f aca="false">IF(M1236="","",ROUND(M1236*IFERROR(INDEX(Weights!$B$2:$B$4,MATCH(G1236,Weights!$A$2:$A$4,0)),0)*IFERROR(INDEX(Weights!$B$7:$B$11,MATCH(E1236,Weights!$A$7:$A$11,0)),0)*IFERROR(INDEX(Weights!$B$14:$B$17,MATCH(TEXT(J1236,"0"),Weights!$A$14:$A$17,0)),0)/(1+N(N1236)/50),1))</f>
        <v/>
      </c>
      <c r="Q1236" s="5" t="s">
        <v>42</v>
      </c>
    </row>
    <row r="1237" customFormat="false" ht="15" hidden="false" customHeight="false" outlineLevel="0" collapsed="false">
      <c r="A1237" s="5" t="n">
        <v>1236</v>
      </c>
      <c r="B1237" s="5" t="s">
        <v>1412</v>
      </c>
      <c r="C1237" s="5" t="s">
        <v>54</v>
      </c>
      <c r="D1237" s="5" t="s">
        <v>36</v>
      </c>
      <c r="E1237" s="5" t="s">
        <v>1291</v>
      </c>
      <c r="F1237" s="5" t="s">
        <v>1401</v>
      </c>
      <c r="G1237" s="5" t="s">
        <v>39</v>
      </c>
      <c r="H1237" s="5" t="s">
        <v>40</v>
      </c>
      <c r="I1237" s="5" t="s">
        <v>796</v>
      </c>
      <c r="J1237" s="5" t="n">
        <v>4</v>
      </c>
      <c r="K1237" s="5"/>
      <c r="L1237" s="6"/>
      <c r="M1237" s="6"/>
      <c r="N1237" s="6"/>
      <c r="O1237" s="6"/>
      <c r="P1237" s="5" t="str">
        <f aca="false">IF(M1237="","",ROUND(M1237*IFERROR(INDEX(Weights!$B$2:$B$4,MATCH(G1237,Weights!$A$2:$A$4,0)),0)*IFERROR(INDEX(Weights!$B$7:$B$11,MATCH(E1237,Weights!$A$7:$A$11,0)),0)*IFERROR(INDEX(Weights!$B$14:$B$17,MATCH(TEXT(J1237,"0"),Weights!$A$14:$A$17,0)),0)/(1+N(N1237)/50),1))</f>
        <v/>
      </c>
      <c r="Q1237" s="5" t="s">
        <v>42</v>
      </c>
    </row>
    <row r="1238" customFormat="false" ht="15" hidden="false" customHeight="false" outlineLevel="0" collapsed="false">
      <c r="A1238" s="5" t="n">
        <v>1237</v>
      </c>
      <c r="B1238" s="5" t="s">
        <v>1413</v>
      </c>
      <c r="C1238" s="5" t="s">
        <v>57</v>
      </c>
      <c r="D1238" s="5" t="s">
        <v>36</v>
      </c>
      <c r="E1238" s="5" t="s">
        <v>1291</v>
      </c>
      <c r="F1238" s="5" t="s">
        <v>1401</v>
      </c>
      <c r="G1238" s="5" t="s">
        <v>39</v>
      </c>
      <c r="H1238" s="5" t="s">
        <v>40</v>
      </c>
      <c r="I1238" s="5" t="s">
        <v>796</v>
      </c>
      <c r="J1238" s="5" t="n">
        <v>4</v>
      </c>
      <c r="K1238" s="5"/>
      <c r="L1238" s="6"/>
      <c r="M1238" s="6"/>
      <c r="N1238" s="6"/>
      <c r="O1238" s="6"/>
      <c r="P1238" s="5" t="str">
        <f aca="false">IF(M1238="","",ROUND(M1238*IFERROR(INDEX(Weights!$B$2:$B$4,MATCH(G1238,Weights!$A$2:$A$4,0)),0)*IFERROR(INDEX(Weights!$B$7:$B$11,MATCH(E1238,Weights!$A$7:$A$11,0)),0)*IFERROR(INDEX(Weights!$B$14:$B$17,MATCH(TEXT(J1238,"0"),Weights!$A$14:$A$17,0)),0)/(1+N(N1238)/50),1))</f>
        <v/>
      </c>
      <c r="Q1238" s="5" t="s">
        <v>42</v>
      </c>
    </row>
    <row r="1239" customFormat="false" ht="15" hidden="false" customHeight="false" outlineLevel="0" collapsed="false">
      <c r="A1239" s="5" t="n">
        <v>1238</v>
      </c>
      <c r="B1239" s="5" t="s">
        <v>1414</v>
      </c>
      <c r="C1239" s="5" t="s">
        <v>57</v>
      </c>
      <c r="D1239" s="5" t="s">
        <v>36</v>
      </c>
      <c r="E1239" s="5" t="s">
        <v>1291</v>
      </c>
      <c r="F1239" s="5" t="s">
        <v>1401</v>
      </c>
      <c r="G1239" s="5" t="s">
        <v>39</v>
      </c>
      <c r="H1239" s="5" t="s">
        <v>40</v>
      </c>
      <c r="I1239" s="5" t="s">
        <v>796</v>
      </c>
      <c r="J1239" s="5" t="n">
        <v>4</v>
      </c>
      <c r="K1239" s="5"/>
      <c r="L1239" s="6"/>
      <c r="M1239" s="6"/>
      <c r="N1239" s="6"/>
      <c r="O1239" s="6"/>
      <c r="P1239" s="5" t="str">
        <f aca="false">IF(M1239="","",ROUND(M1239*IFERROR(INDEX(Weights!$B$2:$B$4,MATCH(G1239,Weights!$A$2:$A$4,0)),0)*IFERROR(INDEX(Weights!$B$7:$B$11,MATCH(E1239,Weights!$A$7:$A$11,0)),0)*IFERROR(INDEX(Weights!$B$14:$B$17,MATCH(TEXT(J1239,"0"),Weights!$A$14:$A$17,0)),0)/(1+N(N1239)/50),1))</f>
        <v/>
      </c>
      <c r="Q1239" s="5" t="s">
        <v>42</v>
      </c>
    </row>
    <row r="1240" customFormat="false" ht="15" hidden="false" customHeight="false" outlineLevel="0" collapsed="false">
      <c r="A1240" s="5" t="n">
        <v>1239</v>
      </c>
      <c r="B1240" s="5" t="s">
        <v>1415</v>
      </c>
      <c r="C1240" s="5" t="s">
        <v>57</v>
      </c>
      <c r="D1240" s="5" t="s">
        <v>36</v>
      </c>
      <c r="E1240" s="5" t="s">
        <v>1291</v>
      </c>
      <c r="F1240" s="5" t="s">
        <v>1401</v>
      </c>
      <c r="G1240" s="5" t="s">
        <v>39</v>
      </c>
      <c r="H1240" s="5" t="s">
        <v>40</v>
      </c>
      <c r="I1240" s="5" t="s">
        <v>796</v>
      </c>
      <c r="J1240" s="5" t="n">
        <v>4</v>
      </c>
      <c r="K1240" s="5"/>
      <c r="L1240" s="6"/>
      <c r="M1240" s="6"/>
      <c r="N1240" s="6"/>
      <c r="O1240" s="6"/>
      <c r="P1240" s="5" t="str">
        <f aca="false">IF(M1240="","",ROUND(M1240*IFERROR(INDEX(Weights!$B$2:$B$4,MATCH(G1240,Weights!$A$2:$A$4,0)),0)*IFERROR(INDEX(Weights!$B$7:$B$11,MATCH(E1240,Weights!$A$7:$A$11,0)),0)*IFERROR(INDEX(Weights!$B$14:$B$17,MATCH(TEXT(J1240,"0"),Weights!$A$14:$A$17,0)),0)/(1+N(N1240)/50),1))</f>
        <v/>
      </c>
      <c r="Q1240" s="5" t="s">
        <v>42</v>
      </c>
    </row>
    <row r="1241" customFormat="false" ht="15" hidden="false" customHeight="false" outlineLevel="0" collapsed="false">
      <c r="A1241" s="5" t="n">
        <v>1240</v>
      </c>
      <c r="B1241" s="5" t="s">
        <v>1416</v>
      </c>
      <c r="C1241" s="5" t="s">
        <v>464</v>
      </c>
      <c r="D1241" s="5" t="s">
        <v>36</v>
      </c>
      <c r="E1241" s="5" t="s">
        <v>1291</v>
      </c>
      <c r="F1241" s="5" t="s">
        <v>1401</v>
      </c>
      <c r="G1241" s="5" t="s">
        <v>39</v>
      </c>
      <c r="H1241" s="5" t="s">
        <v>40</v>
      </c>
      <c r="I1241" s="5" t="s">
        <v>796</v>
      </c>
      <c r="J1241" s="5" t="n">
        <v>4</v>
      </c>
      <c r="K1241" s="5"/>
      <c r="L1241" s="6"/>
      <c r="M1241" s="6"/>
      <c r="N1241" s="6"/>
      <c r="O1241" s="6"/>
      <c r="P1241" s="5" t="str">
        <f aca="false">IF(M1241="","",ROUND(M1241*IFERROR(INDEX(Weights!$B$2:$B$4,MATCH(G1241,Weights!$A$2:$A$4,0)),0)*IFERROR(INDEX(Weights!$B$7:$B$11,MATCH(E1241,Weights!$A$7:$A$11,0)),0)*IFERROR(INDEX(Weights!$B$14:$B$17,MATCH(TEXT(J1241,"0"),Weights!$A$14:$A$17,0)),0)/(1+N(N1241)/50),1))</f>
        <v/>
      </c>
      <c r="Q1241" s="5" t="s">
        <v>42</v>
      </c>
    </row>
    <row r="1242" customFormat="false" ht="15" hidden="false" customHeight="false" outlineLevel="0" collapsed="false">
      <c r="A1242" s="5" t="n">
        <v>1241</v>
      </c>
      <c r="B1242" s="5" t="s">
        <v>1417</v>
      </c>
      <c r="C1242" s="5" t="s">
        <v>464</v>
      </c>
      <c r="D1242" s="5" t="s">
        <v>36</v>
      </c>
      <c r="E1242" s="5" t="s">
        <v>1291</v>
      </c>
      <c r="F1242" s="5" t="s">
        <v>1401</v>
      </c>
      <c r="G1242" s="5" t="s">
        <v>39</v>
      </c>
      <c r="H1242" s="5" t="s">
        <v>40</v>
      </c>
      <c r="I1242" s="5" t="s">
        <v>796</v>
      </c>
      <c r="J1242" s="5" t="n">
        <v>4</v>
      </c>
      <c r="K1242" s="5"/>
      <c r="L1242" s="6"/>
      <c r="M1242" s="6"/>
      <c r="N1242" s="6"/>
      <c r="O1242" s="6"/>
      <c r="P1242" s="5" t="str">
        <f aca="false">IF(M1242="","",ROUND(M1242*IFERROR(INDEX(Weights!$B$2:$B$4,MATCH(G1242,Weights!$A$2:$A$4,0)),0)*IFERROR(INDEX(Weights!$B$7:$B$11,MATCH(E1242,Weights!$A$7:$A$11,0)),0)*IFERROR(INDEX(Weights!$B$14:$B$17,MATCH(TEXT(J1242,"0"),Weights!$A$14:$A$17,0)),0)/(1+N(N1242)/50),1))</f>
        <v/>
      </c>
      <c r="Q1242" s="5" t="s">
        <v>42</v>
      </c>
    </row>
    <row r="1243" customFormat="false" ht="15" hidden="false" customHeight="false" outlineLevel="0" collapsed="false">
      <c r="A1243" s="5" t="n">
        <v>1242</v>
      </c>
      <c r="B1243" s="5" t="s">
        <v>1418</v>
      </c>
      <c r="C1243" s="5" t="s">
        <v>464</v>
      </c>
      <c r="D1243" s="5" t="s">
        <v>36</v>
      </c>
      <c r="E1243" s="5" t="s">
        <v>1291</v>
      </c>
      <c r="F1243" s="5" t="s">
        <v>1401</v>
      </c>
      <c r="G1243" s="5" t="s">
        <v>39</v>
      </c>
      <c r="H1243" s="5" t="s">
        <v>40</v>
      </c>
      <c r="I1243" s="5" t="s">
        <v>796</v>
      </c>
      <c r="J1243" s="5" t="n">
        <v>4</v>
      </c>
      <c r="K1243" s="5"/>
      <c r="L1243" s="6"/>
      <c r="M1243" s="6"/>
      <c r="N1243" s="6"/>
      <c r="O1243" s="6"/>
      <c r="P1243" s="5" t="str">
        <f aca="false">IF(M1243="","",ROUND(M1243*IFERROR(INDEX(Weights!$B$2:$B$4,MATCH(G1243,Weights!$A$2:$A$4,0)),0)*IFERROR(INDEX(Weights!$B$7:$B$11,MATCH(E1243,Weights!$A$7:$A$11,0)),0)*IFERROR(INDEX(Weights!$B$14:$B$17,MATCH(TEXT(J1243,"0"),Weights!$A$14:$A$17,0)),0)/(1+N(N1243)/50),1))</f>
        <v/>
      </c>
      <c r="Q1243" s="5" t="s">
        <v>42</v>
      </c>
    </row>
    <row r="1244" customFormat="false" ht="15" hidden="false" customHeight="false" outlineLevel="0" collapsed="false">
      <c r="A1244" s="5" t="n">
        <v>1243</v>
      </c>
      <c r="B1244" s="5" t="s">
        <v>1419</v>
      </c>
      <c r="C1244" s="5" t="s">
        <v>456</v>
      </c>
      <c r="D1244" s="5" t="s">
        <v>36</v>
      </c>
      <c r="E1244" s="5" t="s">
        <v>1291</v>
      </c>
      <c r="F1244" s="5" t="s">
        <v>1401</v>
      </c>
      <c r="G1244" s="5" t="s">
        <v>39</v>
      </c>
      <c r="H1244" s="5" t="s">
        <v>40</v>
      </c>
      <c r="I1244" s="5" t="s">
        <v>796</v>
      </c>
      <c r="J1244" s="5" t="n">
        <v>4</v>
      </c>
      <c r="K1244" s="5"/>
      <c r="L1244" s="6"/>
      <c r="M1244" s="6"/>
      <c r="N1244" s="6"/>
      <c r="O1244" s="6"/>
      <c r="P1244" s="5" t="str">
        <f aca="false">IF(M1244="","",ROUND(M1244*IFERROR(INDEX(Weights!$B$2:$B$4,MATCH(G1244,Weights!$A$2:$A$4,0)),0)*IFERROR(INDEX(Weights!$B$7:$B$11,MATCH(E1244,Weights!$A$7:$A$11,0)),0)*IFERROR(INDEX(Weights!$B$14:$B$17,MATCH(TEXT(J1244,"0"),Weights!$A$14:$A$17,0)),0)/(1+N(N1244)/50),1))</f>
        <v/>
      </c>
      <c r="Q1244" s="5" t="s">
        <v>42</v>
      </c>
    </row>
    <row r="1245" customFormat="false" ht="15" hidden="false" customHeight="false" outlineLevel="0" collapsed="false">
      <c r="A1245" s="5" t="n">
        <v>1244</v>
      </c>
      <c r="B1245" s="5" t="s">
        <v>1420</v>
      </c>
      <c r="C1245" s="5" t="s">
        <v>456</v>
      </c>
      <c r="D1245" s="5" t="s">
        <v>36</v>
      </c>
      <c r="E1245" s="5" t="s">
        <v>1291</v>
      </c>
      <c r="F1245" s="5" t="s">
        <v>1401</v>
      </c>
      <c r="G1245" s="5" t="s">
        <v>39</v>
      </c>
      <c r="H1245" s="5" t="s">
        <v>40</v>
      </c>
      <c r="I1245" s="5" t="s">
        <v>796</v>
      </c>
      <c r="J1245" s="5" t="n">
        <v>4</v>
      </c>
      <c r="K1245" s="5"/>
      <c r="L1245" s="6"/>
      <c r="M1245" s="6"/>
      <c r="N1245" s="6"/>
      <c r="O1245" s="6"/>
      <c r="P1245" s="5" t="str">
        <f aca="false">IF(M1245="","",ROUND(M1245*IFERROR(INDEX(Weights!$B$2:$B$4,MATCH(G1245,Weights!$A$2:$A$4,0)),0)*IFERROR(INDEX(Weights!$B$7:$B$11,MATCH(E1245,Weights!$A$7:$A$11,0)),0)*IFERROR(INDEX(Weights!$B$14:$B$17,MATCH(TEXT(J1245,"0"),Weights!$A$14:$A$17,0)),0)/(1+N(N1245)/50),1))</f>
        <v/>
      </c>
      <c r="Q1245" s="5" t="s">
        <v>42</v>
      </c>
    </row>
    <row r="1246" customFormat="false" ht="15" hidden="false" customHeight="false" outlineLevel="0" collapsed="false">
      <c r="A1246" s="5" t="n">
        <v>1245</v>
      </c>
      <c r="B1246" s="5" t="s">
        <v>1421</v>
      </c>
      <c r="C1246" s="5" t="s">
        <v>456</v>
      </c>
      <c r="D1246" s="5" t="s">
        <v>36</v>
      </c>
      <c r="E1246" s="5" t="s">
        <v>1291</v>
      </c>
      <c r="F1246" s="5" t="s">
        <v>1401</v>
      </c>
      <c r="G1246" s="5" t="s">
        <v>39</v>
      </c>
      <c r="H1246" s="5" t="s">
        <v>40</v>
      </c>
      <c r="I1246" s="5" t="s">
        <v>796</v>
      </c>
      <c r="J1246" s="5" t="n">
        <v>4</v>
      </c>
      <c r="K1246" s="5" t="s">
        <v>1313</v>
      </c>
      <c r="L1246" s="6"/>
      <c r="M1246" s="6"/>
      <c r="N1246" s="6"/>
      <c r="O1246" s="6"/>
      <c r="P1246" s="5" t="str">
        <f aca="false">IF(M1246="","",ROUND(M1246*IFERROR(INDEX(Weights!$B$2:$B$4,MATCH(G1246,Weights!$A$2:$A$4,0)),0)*IFERROR(INDEX(Weights!$B$7:$B$11,MATCH(E1246,Weights!$A$7:$A$11,0)),0)*IFERROR(INDEX(Weights!$B$14:$B$17,MATCH(TEXT(J1246,"0"),Weights!$A$14:$A$17,0)),0)/(1+N(N1246)/50),1))</f>
        <v/>
      </c>
      <c r="Q1246" s="5" t="s">
        <v>122</v>
      </c>
    </row>
    <row r="1247" customFormat="false" ht="15" hidden="false" customHeight="false" outlineLevel="0" collapsed="false">
      <c r="A1247" s="5" t="n">
        <v>1246</v>
      </c>
      <c r="B1247" s="5" t="s">
        <v>1422</v>
      </c>
      <c r="C1247" s="5" t="s">
        <v>64</v>
      </c>
      <c r="D1247" s="5" t="s">
        <v>36</v>
      </c>
      <c r="E1247" s="5" t="s">
        <v>1291</v>
      </c>
      <c r="F1247" s="5" t="s">
        <v>1401</v>
      </c>
      <c r="G1247" s="5" t="s">
        <v>39</v>
      </c>
      <c r="H1247" s="5" t="s">
        <v>40</v>
      </c>
      <c r="I1247" s="5" t="s">
        <v>796</v>
      </c>
      <c r="J1247" s="5" t="n">
        <v>4</v>
      </c>
      <c r="K1247" s="5"/>
      <c r="L1247" s="6"/>
      <c r="M1247" s="6"/>
      <c r="N1247" s="6"/>
      <c r="O1247" s="6"/>
      <c r="P1247" s="5" t="str">
        <f aca="false">IF(M1247="","",ROUND(M1247*IFERROR(INDEX(Weights!$B$2:$B$4,MATCH(G1247,Weights!$A$2:$A$4,0)),0)*IFERROR(INDEX(Weights!$B$7:$B$11,MATCH(E1247,Weights!$A$7:$A$11,0)),0)*IFERROR(INDEX(Weights!$B$14:$B$17,MATCH(TEXT(J1247,"0"),Weights!$A$14:$A$17,0)),0)/(1+N(N1247)/50),1))</f>
        <v/>
      </c>
      <c r="Q1247" s="5" t="s">
        <v>42</v>
      </c>
    </row>
    <row r="1248" customFormat="false" ht="15" hidden="false" customHeight="false" outlineLevel="0" collapsed="false">
      <c r="A1248" s="5" t="n">
        <v>1247</v>
      </c>
      <c r="B1248" s="5" t="s">
        <v>1423</v>
      </c>
      <c r="C1248" s="5" t="s">
        <v>64</v>
      </c>
      <c r="D1248" s="5" t="s">
        <v>36</v>
      </c>
      <c r="E1248" s="5" t="s">
        <v>1291</v>
      </c>
      <c r="F1248" s="5" t="s">
        <v>1401</v>
      </c>
      <c r="G1248" s="5" t="s">
        <v>39</v>
      </c>
      <c r="H1248" s="5" t="s">
        <v>40</v>
      </c>
      <c r="I1248" s="5" t="s">
        <v>796</v>
      </c>
      <c r="J1248" s="5" t="n">
        <v>4</v>
      </c>
      <c r="K1248" s="5"/>
      <c r="L1248" s="6"/>
      <c r="M1248" s="6"/>
      <c r="N1248" s="6"/>
      <c r="O1248" s="6"/>
      <c r="P1248" s="5" t="str">
        <f aca="false">IF(M1248="","",ROUND(M1248*IFERROR(INDEX(Weights!$B$2:$B$4,MATCH(G1248,Weights!$A$2:$A$4,0)),0)*IFERROR(INDEX(Weights!$B$7:$B$11,MATCH(E1248,Weights!$A$7:$A$11,0)),0)*IFERROR(INDEX(Weights!$B$14:$B$17,MATCH(TEXT(J1248,"0"),Weights!$A$14:$A$17,0)),0)/(1+N(N1248)/50),1))</f>
        <v/>
      </c>
      <c r="Q1248" s="5" t="s">
        <v>42</v>
      </c>
    </row>
    <row r="1249" customFormat="false" ht="15" hidden="false" customHeight="false" outlineLevel="0" collapsed="false">
      <c r="A1249" s="5" t="n">
        <v>1248</v>
      </c>
      <c r="B1249" s="5" t="s">
        <v>1424</v>
      </c>
      <c r="C1249" s="5" t="s">
        <v>61</v>
      </c>
      <c r="D1249" s="5" t="s">
        <v>36</v>
      </c>
      <c r="E1249" s="5" t="s">
        <v>1291</v>
      </c>
      <c r="F1249" s="5" t="s">
        <v>1401</v>
      </c>
      <c r="G1249" s="5" t="s">
        <v>39</v>
      </c>
      <c r="H1249" s="5" t="s">
        <v>40</v>
      </c>
      <c r="I1249" s="5" t="s">
        <v>796</v>
      </c>
      <c r="J1249" s="5" t="n">
        <v>4</v>
      </c>
      <c r="K1249" s="5"/>
      <c r="L1249" s="6"/>
      <c r="M1249" s="6"/>
      <c r="N1249" s="6"/>
      <c r="O1249" s="6"/>
      <c r="P1249" s="5" t="str">
        <f aca="false">IF(M1249="","",ROUND(M1249*IFERROR(INDEX(Weights!$B$2:$B$4,MATCH(G1249,Weights!$A$2:$A$4,0)),0)*IFERROR(INDEX(Weights!$B$7:$B$11,MATCH(E1249,Weights!$A$7:$A$11,0)),0)*IFERROR(INDEX(Weights!$B$14:$B$17,MATCH(TEXT(J1249,"0"),Weights!$A$14:$A$17,0)),0)/(1+N(N1249)/50),1))</f>
        <v/>
      </c>
      <c r="Q1249" s="5" t="s">
        <v>42</v>
      </c>
    </row>
    <row r="1250" customFormat="false" ht="15" hidden="false" customHeight="false" outlineLevel="0" collapsed="false">
      <c r="A1250" s="5" t="n">
        <v>1249</v>
      </c>
      <c r="B1250" s="5" t="s">
        <v>1425</v>
      </c>
      <c r="C1250" s="5" t="s">
        <v>66</v>
      </c>
      <c r="D1250" s="5" t="s">
        <v>36</v>
      </c>
      <c r="E1250" s="5" t="s">
        <v>1291</v>
      </c>
      <c r="F1250" s="5" t="s">
        <v>1401</v>
      </c>
      <c r="G1250" s="5" t="s">
        <v>39</v>
      </c>
      <c r="H1250" s="5" t="s">
        <v>40</v>
      </c>
      <c r="I1250" s="5" t="s">
        <v>796</v>
      </c>
      <c r="J1250" s="5" t="n">
        <v>4</v>
      </c>
      <c r="K1250" s="5"/>
      <c r="L1250" s="6"/>
      <c r="M1250" s="6"/>
      <c r="N1250" s="6"/>
      <c r="O1250" s="6"/>
      <c r="P1250" s="5" t="str">
        <f aca="false">IF(M1250="","",ROUND(M1250*IFERROR(INDEX(Weights!$B$2:$B$4,MATCH(G1250,Weights!$A$2:$A$4,0)),0)*IFERROR(INDEX(Weights!$B$7:$B$11,MATCH(E1250,Weights!$A$7:$A$11,0)),0)*IFERROR(INDEX(Weights!$B$14:$B$17,MATCH(TEXT(J1250,"0"),Weights!$A$14:$A$17,0)),0)/(1+N(N1250)/50),1))</f>
        <v/>
      </c>
      <c r="Q1250" s="5" t="s">
        <v>42</v>
      </c>
    </row>
    <row r="1251" customFormat="false" ht="15" hidden="false" customHeight="false" outlineLevel="0" collapsed="false">
      <c r="A1251" s="5" t="n">
        <v>1250</v>
      </c>
      <c r="B1251" s="5" t="s">
        <v>1426</v>
      </c>
      <c r="C1251" s="5" t="s">
        <v>69</v>
      </c>
      <c r="D1251" s="5" t="s">
        <v>36</v>
      </c>
      <c r="E1251" s="5" t="s">
        <v>1291</v>
      </c>
      <c r="F1251" s="5" t="s">
        <v>1401</v>
      </c>
      <c r="G1251" s="5" t="s">
        <v>39</v>
      </c>
      <c r="H1251" s="5" t="s">
        <v>40</v>
      </c>
      <c r="I1251" s="5" t="s">
        <v>796</v>
      </c>
      <c r="J1251" s="5" t="n">
        <v>4</v>
      </c>
      <c r="K1251" s="5"/>
      <c r="L1251" s="6"/>
      <c r="M1251" s="6"/>
      <c r="N1251" s="6"/>
      <c r="O1251" s="6"/>
      <c r="P1251" s="5" t="str">
        <f aca="false">IF(M1251="","",ROUND(M1251*IFERROR(INDEX(Weights!$B$2:$B$4,MATCH(G1251,Weights!$A$2:$A$4,0)),0)*IFERROR(INDEX(Weights!$B$7:$B$11,MATCH(E1251,Weights!$A$7:$A$11,0)),0)*IFERROR(INDEX(Weights!$B$14:$B$17,MATCH(TEXT(J1251,"0"),Weights!$A$14:$A$17,0)),0)/(1+N(N1251)/50),1))</f>
        <v/>
      </c>
      <c r="Q1251" s="5" t="s">
        <v>42</v>
      </c>
    </row>
    <row r="1252" customFormat="false" ht="15" hidden="false" customHeight="false" outlineLevel="0" collapsed="false">
      <c r="A1252" s="5" t="n">
        <v>1251</v>
      </c>
      <c r="B1252" s="5" t="s">
        <v>1427</v>
      </c>
      <c r="C1252" s="5" t="s">
        <v>35</v>
      </c>
      <c r="D1252" s="5" t="s">
        <v>36</v>
      </c>
      <c r="E1252" s="5" t="s">
        <v>1291</v>
      </c>
      <c r="F1252" s="5" t="s">
        <v>1428</v>
      </c>
      <c r="G1252" s="5" t="s">
        <v>39</v>
      </c>
      <c r="H1252" s="5" t="s">
        <v>40</v>
      </c>
      <c r="I1252" s="5" t="s">
        <v>796</v>
      </c>
      <c r="J1252" s="5" t="n">
        <v>4</v>
      </c>
      <c r="K1252" s="5"/>
      <c r="L1252" s="6"/>
      <c r="M1252" s="6"/>
      <c r="N1252" s="6"/>
      <c r="O1252" s="6"/>
      <c r="P1252" s="5" t="str">
        <f aca="false">IF(M1252="","",ROUND(M1252*IFERROR(INDEX(Weights!$B$2:$B$4,MATCH(G1252,Weights!$A$2:$A$4,0)),0)*IFERROR(INDEX(Weights!$B$7:$B$11,MATCH(E1252,Weights!$A$7:$A$11,0)),0)*IFERROR(INDEX(Weights!$B$14:$B$17,MATCH(TEXT(J1252,"0"),Weights!$A$14:$A$17,0)),0)/(1+N(N1252)/50),1))</f>
        <v/>
      </c>
      <c r="Q1252" s="5" t="s">
        <v>42</v>
      </c>
    </row>
    <row r="1253" customFormat="false" ht="15" hidden="false" customHeight="false" outlineLevel="0" collapsed="false">
      <c r="A1253" s="5" t="n">
        <v>1252</v>
      </c>
      <c r="B1253" s="5" t="s">
        <v>1429</v>
      </c>
      <c r="C1253" s="5" t="s">
        <v>35</v>
      </c>
      <c r="D1253" s="5" t="s">
        <v>36</v>
      </c>
      <c r="E1253" s="5" t="s">
        <v>1291</v>
      </c>
      <c r="F1253" s="5" t="s">
        <v>1428</v>
      </c>
      <c r="G1253" s="5" t="s">
        <v>39</v>
      </c>
      <c r="H1253" s="5" t="s">
        <v>40</v>
      </c>
      <c r="I1253" s="5" t="s">
        <v>796</v>
      </c>
      <c r="J1253" s="5" t="n">
        <v>4</v>
      </c>
      <c r="K1253" s="5"/>
      <c r="L1253" s="6"/>
      <c r="M1253" s="6"/>
      <c r="N1253" s="6"/>
      <c r="O1253" s="6"/>
      <c r="P1253" s="5" t="str">
        <f aca="false">IF(M1253="","",ROUND(M1253*IFERROR(INDEX(Weights!$B$2:$B$4,MATCH(G1253,Weights!$A$2:$A$4,0)),0)*IFERROR(INDEX(Weights!$B$7:$B$11,MATCH(E1253,Weights!$A$7:$A$11,0)),0)*IFERROR(INDEX(Weights!$B$14:$B$17,MATCH(TEXT(J1253,"0"),Weights!$A$14:$A$17,0)),0)/(1+N(N1253)/50),1))</f>
        <v/>
      </c>
      <c r="Q1253" s="5" t="s">
        <v>42</v>
      </c>
    </row>
    <row r="1254" customFormat="false" ht="15" hidden="false" customHeight="false" outlineLevel="0" collapsed="false">
      <c r="A1254" s="5" t="n">
        <v>1253</v>
      </c>
      <c r="B1254" s="5" t="s">
        <v>1430</v>
      </c>
      <c r="C1254" s="5" t="s">
        <v>35</v>
      </c>
      <c r="D1254" s="5" t="s">
        <v>36</v>
      </c>
      <c r="E1254" s="5" t="s">
        <v>1291</v>
      </c>
      <c r="F1254" s="5" t="s">
        <v>1428</v>
      </c>
      <c r="G1254" s="5" t="s">
        <v>39</v>
      </c>
      <c r="H1254" s="5" t="s">
        <v>40</v>
      </c>
      <c r="I1254" s="5" t="s">
        <v>796</v>
      </c>
      <c r="J1254" s="5" t="n">
        <v>4</v>
      </c>
      <c r="K1254" s="5"/>
      <c r="L1254" s="6"/>
      <c r="M1254" s="6"/>
      <c r="N1254" s="6"/>
      <c r="O1254" s="6"/>
      <c r="P1254" s="5" t="str">
        <f aca="false">IF(M1254="","",ROUND(M1254*IFERROR(INDEX(Weights!$B$2:$B$4,MATCH(G1254,Weights!$A$2:$A$4,0)),0)*IFERROR(INDEX(Weights!$B$7:$B$11,MATCH(E1254,Weights!$A$7:$A$11,0)),0)*IFERROR(INDEX(Weights!$B$14:$B$17,MATCH(TEXT(J1254,"0"),Weights!$A$14:$A$17,0)),0)/(1+N(N1254)/50),1))</f>
        <v/>
      </c>
      <c r="Q1254" s="5" t="s">
        <v>42</v>
      </c>
    </row>
    <row r="1255" customFormat="false" ht="15" hidden="false" customHeight="false" outlineLevel="0" collapsed="false">
      <c r="A1255" s="5" t="n">
        <v>1254</v>
      </c>
      <c r="B1255" s="5" t="s">
        <v>1431</v>
      </c>
      <c r="C1255" s="5" t="s">
        <v>47</v>
      </c>
      <c r="D1255" s="5" t="s">
        <v>36</v>
      </c>
      <c r="E1255" s="5" t="s">
        <v>1291</v>
      </c>
      <c r="F1255" s="5" t="s">
        <v>1428</v>
      </c>
      <c r="G1255" s="5" t="s">
        <v>39</v>
      </c>
      <c r="H1255" s="5" t="s">
        <v>40</v>
      </c>
      <c r="I1255" s="5" t="s">
        <v>796</v>
      </c>
      <c r="J1255" s="5" t="n">
        <v>4</v>
      </c>
      <c r="K1255" s="5"/>
      <c r="L1255" s="6"/>
      <c r="M1255" s="6"/>
      <c r="N1255" s="6"/>
      <c r="O1255" s="6"/>
      <c r="P1255" s="5" t="str">
        <f aca="false">IF(M1255="","",ROUND(M1255*IFERROR(INDEX(Weights!$B$2:$B$4,MATCH(G1255,Weights!$A$2:$A$4,0)),0)*IFERROR(INDEX(Weights!$B$7:$B$11,MATCH(E1255,Weights!$A$7:$A$11,0)),0)*IFERROR(INDEX(Weights!$B$14:$B$17,MATCH(TEXT(J1255,"0"),Weights!$A$14:$A$17,0)),0)/(1+N(N1255)/50),1))</f>
        <v/>
      </c>
      <c r="Q1255" s="5" t="s">
        <v>42</v>
      </c>
    </row>
    <row r="1256" customFormat="false" ht="15" hidden="false" customHeight="false" outlineLevel="0" collapsed="false">
      <c r="A1256" s="5" t="n">
        <v>1255</v>
      </c>
      <c r="B1256" s="5" t="s">
        <v>1432</v>
      </c>
      <c r="C1256" s="5" t="s">
        <v>47</v>
      </c>
      <c r="D1256" s="5" t="s">
        <v>36</v>
      </c>
      <c r="E1256" s="5" t="s">
        <v>1291</v>
      </c>
      <c r="F1256" s="5" t="s">
        <v>1428</v>
      </c>
      <c r="G1256" s="5" t="s">
        <v>39</v>
      </c>
      <c r="H1256" s="5" t="s">
        <v>40</v>
      </c>
      <c r="I1256" s="5" t="s">
        <v>796</v>
      </c>
      <c r="J1256" s="5" t="n">
        <v>4</v>
      </c>
      <c r="K1256" s="5"/>
      <c r="L1256" s="6"/>
      <c r="M1256" s="6"/>
      <c r="N1256" s="6"/>
      <c r="O1256" s="6"/>
      <c r="P1256" s="5" t="str">
        <f aca="false">IF(M1256="","",ROUND(M1256*IFERROR(INDEX(Weights!$B$2:$B$4,MATCH(G1256,Weights!$A$2:$A$4,0)),0)*IFERROR(INDEX(Weights!$B$7:$B$11,MATCH(E1256,Weights!$A$7:$A$11,0)),0)*IFERROR(INDEX(Weights!$B$14:$B$17,MATCH(TEXT(J1256,"0"),Weights!$A$14:$A$17,0)),0)/(1+N(N1256)/50),1))</f>
        <v/>
      </c>
      <c r="Q1256" s="5" t="s">
        <v>42</v>
      </c>
    </row>
    <row r="1257" customFormat="false" ht="15" hidden="false" customHeight="false" outlineLevel="0" collapsed="false">
      <c r="A1257" s="5" t="n">
        <v>1256</v>
      </c>
      <c r="B1257" s="5" t="s">
        <v>1433</v>
      </c>
      <c r="C1257" s="5" t="s">
        <v>47</v>
      </c>
      <c r="D1257" s="5" t="s">
        <v>36</v>
      </c>
      <c r="E1257" s="5" t="s">
        <v>1291</v>
      </c>
      <c r="F1257" s="5" t="s">
        <v>1428</v>
      </c>
      <c r="G1257" s="5" t="s">
        <v>39</v>
      </c>
      <c r="H1257" s="5" t="s">
        <v>40</v>
      </c>
      <c r="I1257" s="5" t="s">
        <v>796</v>
      </c>
      <c r="J1257" s="5" t="n">
        <v>4</v>
      </c>
      <c r="K1257" s="5"/>
      <c r="L1257" s="6"/>
      <c r="M1257" s="6"/>
      <c r="N1257" s="6"/>
      <c r="O1257" s="6"/>
      <c r="P1257" s="5" t="str">
        <f aca="false">IF(M1257="","",ROUND(M1257*IFERROR(INDEX(Weights!$B$2:$B$4,MATCH(G1257,Weights!$A$2:$A$4,0)),0)*IFERROR(INDEX(Weights!$B$7:$B$11,MATCH(E1257,Weights!$A$7:$A$11,0)),0)*IFERROR(INDEX(Weights!$B$14:$B$17,MATCH(TEXT(J1257,"0"),Weights!$A$14:$A$17,0)),0)/(1+N(N1257)/50),1))</f>
        <v/>
      </c>
      <c r="Q1257" s="5" t="s">
        <v>42</v>
      </c>
    </row>
    <row r="1258" customFormat="false" ht="15" hidden="false" customHeight="false" outlineLevel="0" collapsed="false">
      <c r="A1258" s="5" t="n">
        <v>1257</v>
      </c>
      <c r="B1258" s="5" t="s">
        <v>1434</v>
      </c>
      <c r="C1258" s="5" t="s">
        <v>47</v>
      </c>
      <c r="D1258" s="5" t="s">
        <v>36</v>
      </c>
      <c r="E1258" s="5" t="s">
        <v>1291</v>
      </c>
      <c r="F1258" s="5" t="s">
        <v>1428</v>
      </c>
      <c r="G1258" s="5" t="s">
        <v>39</v>
      </c>
      <c r="H1258" s="5" t="s">
        <v>40</v>
      </c>
      <c r="I1258" s="5" t="s">
        <v>796</v>
      </c>
      <c r="J1258" s="5" t="n">
        <v>4</v>
      </c>
      <c r="K1258" s="5"/>
      <c r="L1258" s="6"/>
      <c r="M1258" s="6"/>
      <c r="N1258" s="6"/>
      <c r="O1258" s="6"/>
      <c r="P1258" s="5" t="str">
        <f aca="false">IF(M1258="","",ROUND(M1258*IFERROR(INDEX(Weights!$B$2:$B$4,MATCH(G1258,Weights!$A$2:$A$4,0)),0)*IFERROR(INDEX(Weights!$B$7:$B$11,MATCH(E1258,Weights!$A$7:$A$11,0)),0)*IFERROR(INDEX(Weights!$B$14:$B$17,MATCH(TEXT(J1258,"0"),Weights!$A$14:$A$17,0)),0)/(1+N(N1258)/50),1))</f>
        <v/>
      </c>
      <c r="Q1258" s="5" t="s">
        <v>42</v>
      </c>
    </row>
    <row r="1259" customFormat="false" ht="15" hidden="false" customHeight="false" outlineLevel="0" collapsed="false">
      <c r="A1259" s="5" t="n">
        <v>1258</v>
      </c>
      <c r="B1259" s="5" t="s">
        <v>1435</v>
      </c>
      <c r="C1259" s="5" t="s">
        <v>51</v>
      </c>
      <c r="D1259" s="5" t="s">
        <v>36</v>
      </c>
      <c r="E1259" s="5" t="s">
        <v>1291</v>
      </c>
      <c r="F1259" s="5" t="s">
        <v>1428</v>
      </c>
      <c r="G1259" s="5" t="s">
        <v>39</v>
      </c>
      <c r="H1259" s="5" t="s">
        <v>40</v>
      </c>
      <c r="I1259" s="5" t="s">
        <v>796</v>
      </c>
      <c r="J1259" s="5" t="n">
        <v>4</v>
      </c>
      <c r="K1259" s="5"/>
      <c r="L1259" s="6"/>
      <c r="M1259" s="6"/>
      <c r="N1259" s="6"/>
      <c r="O1259" s="6"/>
      <c r="P1259" s="5" t="str">
        <f aca="false">IF(M1259="","",ROUND(M1259*IFERROR(INDEX(Weights!$B$2:$B$4,MATCH(G1259,Weights!$A$2:$A$4,0)),0)*IFERROR(INDEX(Weights!$B$7:$B$11,MATCH(E1259,Weights!$A$7:$A$11,0)),0)*IFERROR(INDEX(Weights!$B$14:$B$17,MATCH(TEXT(J1259,"0"),Weights!$A$14:$A$17,0)),0)/(1+N(N1259)/50),1))</f>
        <v/>
      </c>
      <c r="Q1259" s="5" t="s">
        <v>42</v>
      </c>
    </row>
    <row r="1260" customFormat="false" ht="15" hidden="false" customHeight="false" outlineLevel="0" collapsed="false">
      <c r="A1260" s="5" t="n">
        <v>1259</v>
      </c>
      <c r="B1260" s="5" t="s">
        <v>1436</v>
      </c>
      <c r="C1260" s="5" t="s">
        <v>51</v>
      </c>
      <c r="D1260" s="5" t="s">
        <v>36</v>
      </c>
      <c r="E1260" s="5" t="s">
        <v>1291</v>
      </c>
      <c r="F1260" s="5" t="s">
        <v>1428</v>
      </c>
      <c r="G1260" s="5" t="s">
        <v>39</v>
      </c>
      <c r="H1260" s="5" t="s">
        <v>40</v>
      </c>
      <c r="I1260" s="5" t="s">
        <v>796</v>
      </c>
      <c r="J1260" s="5" t="n">
        <v>4</v>
      </c>
      <c r="K1260" s="5"/>
      <c r="L1260" s="6"/>
      <c r="M1260" s="6"/>
      <c r="N1260" s="6"/>
      <c r="O1260" s="6"/>
      <c r="P1260" s="5" t="str">
        <f aca="false">IF(M1260="","",ROUND(M1260*IFERROR(INDEX(Weights!$B$2:$B$4,MATCH(G1260,Weights!$A$2:$A$4,0)),0)*IFERROR(INDEX(Weights!$B$7:$B$11,MATCH(E1260,Weights!$A$7:$A$11,0)),0)*IFERROR(INDEX(Weights!$B$14:$B$17,MATCH(TEXT(J1260,"0"),Weights!$A$14:$A$17,0)),0)/(1+N(N1260)/50),1))</f>
        <v/>
      </c>
      <c r="Q1260" s="5" t="s">
        <v>42</v>
      </c>
    </row>
    <row r="1261" customFormat="false" ht="15" hidden="false" customHeight="false" outlineLevel="0" collapsed="false">
      <c r="A1261" s="5" t="n">
        <v>1260</v>
      </c>
      <c r="B1261" s="5" t="s">
        <v>1437</v>
      </c>
      <c r="C1261" s="5" t="s">
        <v>51</v>
      </c>
      <c r="D1261" s="5" t="s">
        <v>36</v>
      </c>
      <c r="E1261" s="5" t="s">
        <v>1291</v>
      </c>
      <c r="F1261" s="5" t="s">
        <v>1428</v>
      </c>
      <c r="G1261" s="5" t="s">
        <v>39</v>
      </c>
      <c r="H1261" s="5" t="s">
        <v>40</v>
      </c>
      <c r="I1261" s="5" t="s">
        <v>796</v>
      </c>
      <c r="J1261" s="5" t="n">
        <v>4</v>
      </c>
      <c r="K1261" s="5"/>
      <c r="L1261" s="6"/>
      <c r="M1261" s="6"/>
      <c r="N1261" s="6"/>
      <c r="O1261" s="6"/>
      <c r="P1261" s="5" t="str">
        <f aca="false">IF(M1261="","",ROUND(M1261*IFERROR(INDEX(Weights!$B$2:$B$4,MATCH(G1261,Weights!$A$2:$A$4,0)),0)*IFERROR(INDEX(Weights!$B$7:$B$11,MATCH(E1261,Weights!$A$7:$A$11,0)),0)*IFERROR(INDEX(Weights!$B$14:$B$17,MATCH(TEXT(J1261,"0"),Weights!$A$14:$A$17,0)),0)/(1+N(N1261)/50),1))</f>
        <v/>
      </c>
      <c r="Q1261" s="5" t="s">
        <v>42</v>
      </c>
    </row>
    <row r="1262" customFormat="false" ht="15" hidden="false" customHeight="false" outlineLevel="0" collapsed="false">
      <c r="A1262" s="5" t="n">
        <v>1261</v>
      </c>
      <c r="B1262" s="5" t="s">
        <v>1438</v>
      </c>
      <c r="C1262" s="5" t="s">
        <v>54</v>
      </c>
      <c r="D1262" s="5" t="s">
        <v>36</v>
      </c>
      <c r="E1262" s="5" t="s">
        <v>1291</v>
      </c>
      <c r="F1262" s="5" t="s">
        <v>1428</v>
      </c>
      <c r="G1262" s="5" t="s">
        <v>39</v>
      </c>
      <c r="H1262" s="5" t="s">
        <v>40</v>
      </c>
      <c r="I1262" s="5" t="s">
        <v>796</v>
      </c>
      <c r="J1262" s="5" t="n">
        <v>4</v>
      </c>
      <c r="K1262" s="5"/>
      <c r="L1262" s="6"/>
      <c r="M1262" s="6"/>
      <c r="N1262" s="6"/>
      <c r="O1262" s="6"/>
      <c r="P1262" s="5" t="str">
        <f aca="false">IF(M1262="","",ROUND(M1262*IFERROR(INDEX(Weights!$B$2:$B$4,MATCH(G1262,Weights!$A$2:$A$4,0)),0)*IFERROR(INDEX(Weights!$B$7:$B$11,MATCH(E1262,Weights!$A$7:$A$11,0)),0)*IFERROR(INDEX(Weights!$B$14:$B$17,MATCH(TEXT(J1262,"0"),Weights!$A$14:$A$17,0)),0)/(1+N(N1262)/50),1))</f>
        <v/>
      </c>
      <c r="Q1262" s="5" t="s">
        <v>42</v>
      </c>
    </row>
    <row r="1263" customFormat="false" ht="15" hidden="false" customHeight="false" outlineLevel="0" collapsed="false">
      <c r="A1263" s="5" t="n">
        <v>1262</v>
      </c>
      <c r="B1263" s="5" t="s">
        <v>1439</v>
      </c>
      <c r="C1263" s="5" t="s">
        <v>54</v>
      </c>
      <c r="D1263" s="5" t="s">
        <v>36</v>
      </c>
      <c r="E1263" s="5" t="s">
        <v>1291</v>
      </c>
      <c r="F1263" s="5" t="s">
        <v>1428</v>
      </c>
      <c r="G1263" s="5" t="s">
        <v>39</v>
      </c>
      <c r="H1263" s="5" t="s">
        <v>40</v>
      </c>
      <c r="I1263" s="5" t="s">
        <v>796</v>
      </c>
      <c r="J1263" s="5" t="n">
        <v>4</v>
      </c>
      <c r="K1263" s="5"/>
      <c r="L1263" s="6"/>
      <c r="M1263" s="6"/>
      <c r="N1263" s="6"/>
      <c r="O1263" s="6"/>
      <c r="P1263" s="5" t="str">
        <f aca="false">IF(M1263="","",ROUND(M1263*IFERROR(INDEX(Weights!$B$2:$B$4,MATCH(G1263,Weights!$A$2:$A$4,0)),0)*IFERROR(INDEX(Weights!$B$7:$B$11,MATCH(E1263,Weights!$A$7:$A$11,0)),0)*IFERROR(INDEX(Weights!$B$14:$B$17,MATCH(TEXT(J1263,"0"),Weights!$A$14:$A$17,0)),0)/(1+N(N1263)/50),1))</f>
        <v/>
      </c>
      <c r="Q1263" s="5" t="s">
        <v>42</v>
      </c>
    </row>
    <row r="1264" customFormat="false" ht="15" hidden="false" customHeight="false" outlineLevel="0" collapsed="false">
      <c r="A1264" s="5" t="n">
        <v>1263</v>
      </c>
      <c r="B1264" s="5" t="s">
        <v>1440</v>
      </c>
      <c r="C1264" s="5" t="s">
        <v>57</v>
      </c>
      <c r="D1264" s="5" t="s">
        <v>36</v>
      </c>
      <c r="E1264" s="5" t="s">
        <v>1291</v>
      </c>
      <c r="F1264" s="5" t="s">
        <v>1428</v>
      </c>
      <c r="G1264" s="5" t="s">
        <v>39</v>
      </c>
      <c r="H1264" s="5" t="s">
        <v>40</v>
      </c>
      <c r="I1264" s="5" t="s">
        <v>796</v>
      </c>
      <c r="J1264" s="5" t="n">
        <v>4</v>
      </c>
      <c r="K1264" s="5"/>
      <c r="L1264" s="6"/>
      <c r="M1264" s="6"/>
      <c r="N1264" s="6"/>
      <c r="O1264" s="6"/>
      <c r="P1264" s="5" t="str">
        <f aca="false">IF(M1264="","",ROUND(M1264*IFERROR(INDEX(Weights!$B$2:$B$4,MATCH(G1264,Weights!$A$2:$A$4,0)),0)*IFERROR(INDEX(Weights!$B$7:$B$11,MATCH(E1264,Weights!$A$7:$A$11,0)),0)*IFERROR(INDEX(Weights!$B$14:$B$17,MATCH(TEXT(J1264,"0"),Weights!$A$14:$A$17,0)),0)/(1+N(N1264)/50),1))</f>
        <v/>
      </c>
      <c r="Q1264" s="5" t="s">
        <v>42</v>
      </c>
    </row>
    <row r="1265" customFormat="false" ht="15" hidden="false" customHeight="false" outlineLevel="0" collapsed="false">
      <c r="A1265" s="5" t="n">
        <v>1264</v>
      </c>
      <c r="B1265" s="5" t="s">
        <v>1441</v>
      </c>
      <c r="C1265" s="5" t="s">
        <v>57</v>
      </c>
      <c r="D1265" s="5" t="s">
        <v>36</v>
      </c>
      <c r="E1265" s="5" t="s">
        <v>1291</v>
      </c>
      <c r="F1265" s="5" t="s">
        <v>1428</v>
      </c>
      <c r="G1265" s="5" t="s">
        <v>39</v>
      </c>
      <c r="H1265" s="5" t="s">
        <v>40</v>
      </c>
      <c r="I1265" s="5" t="s">
        <v>796</v>
      </c>
      <c r="J1265" s="5" t="n">
        <v>4</v>
      </c>
      <c r="K1265" s="5"/>
      <c r="L1265" s="6"/>
      <c r="M1265" s="6"/>
      <c r="N1265" s="6"/>
      <c r="O1265" s="6"/>
      <c r="P1265" s="5" t="str">
        <f aca="false">IF(M1265="","",ROUND(M1265*IFERROR(INDEX(Weights!$B$2:$B$4,MATCH(G1265,Weights!$A$2:$A$4,0)),0)*IFERROR(INDEX(Weights!$B$7:$B$11,MATCH(E1265,Weights!$A$7:$A$11,0)),0)*IFERROR(INDEX(Weights!$B$14:$B$17,MATCH(TEXT(J1265,"0"),Weights!$A$14:$A$17,0)),0)/(1+N(N1265)/50),1))</f>
        <v/>
      </c>
      <c r="Q1265" s="5" t="s">
        <v>42</v>
      </c>
    </row>
    <row r="1266" customFormat="false" ht="15" hidden="false" customHeight="false" outlineLevel="0" collapsed="false">
      <c r="A1266" s="5" t="n">
        <v>1265</v>
      </c>
      <c r="B1266" s="5" t="s">
        <v>1442</v>
      </c>
      <c r="C1266" s="5" t="s">
        <v>57</v>
      </c>
      <c r="D1266" s="5" t="s">
        <v>36</v>
      </c>
      <c r="E1266" s="5" t="s">
        <v>1291</v>
      </c>
      <c r="F1266" s="5" t="s">
        <v>1428</v>
      </c>
      <c r="G1266" s="5" t="s">
        <v>39</v>
      </c>
      <c r="H1266" s="5" t="s">
        <v>40</v>
      </c>
      <c r="I1266" s="5" t="s">
        <v>796</v>
      </c>
      <c r="J1266" s="5" t="n">
        <v>4</v>
      </c>
      <c r="K1266" s="5"/>
      <c r="L1266" s="6"/>
      <c r="M1266" s="6"/>
      <c r="N1266" s="6"/>
      <c r="O1266" s="6"/>
      <c r="P1266" s="5" t="str">
        <f aca="false">IF(M1266="","",ROUND(M1266*IFERROR(INDEX(Weights!$B$2:$B$4,MATCH(G1266,Weights!$A$2:$A$4,0)),0)*IFERROR(INDEX(Weights!$B$7:$B$11,MATCH(E1266,Weights!$A$7:$A$11,0)),0)*IFERROR(INDEX(Weights!$B$14:$B$17,MATCH(TEXT(J1266,"0"),Weights!$A$14:$A$17,0)),0)/(1+N(N1266)/50),1))</f>
        <v/>
      </c>
      <c r="Q1266" s="5" t="s">
        <v>42</v>
      </c>
    </row>
    <row r="1267" customFormat="false" ht="15" hidden="false" customHeight="false" outlineLevel="0" collapsed="false">
      <c r="A1267" s="5" t="n">
        <v>1266</v>
      </c>
      <c r="B1267" s="5" t="s">
        <v>1443</v>
      </c>
      <c r="C1267" s="5" t="s">
        <v>464</v>
      </c>
      <c r="D1267" s="5" t="s">
        <v>36</v>
      </c>
      <c r="E1267" s="5" t="s">
        <v>1291</v>
      </c>
      <c r="F1267" s="5" t="s">
        <v>1428</v>
      </c>
      <c r="G1267" s="5" t="s">
        <v>39</v>
      </c>
      <c r="H1267" s="5" t="s">
        <v>40</v>
      </c>
      <c r="I1267" s="5" t="s">
        <v>796</v>
      </c>
      <c r="J1267" s="5" t="n">
        <v>4</v>
      </c>
      <c r="K1267" s="5"/>
      <c r="L1267" s="6"/>
      <c r="M1267" s="6"/>
      <c r="N1267" s="6"/>
      <c r="O1267" s="6"/>
      <c r="P1267" s="5" t="str">
        <f aca="false">IF(M1267="","",ROUND(M1267*IFERROR(INDEX(Weights!$B$2:$B$4,MATCH(G1267,Weights!$A$2:$A$4,0)),0)*IFERROR(INDEX(Weights!$B$7:$B$11,MATCH(E1267,Weights!$A$7:$A$11,0)),0)*IFERROR(INDEX(Weights!$B$14:$B$17,MATCH(TEXT(J1267,"0"),Weights!$A$14:$A$17,0)),0)/(1+N(N1267)/50),1))</f>
        <v/>
      </c>
      <c r="Q1267" s="5" t="s">
        <v>42</v>
      </c>
    </row>
    <row r="1268" customFormat="false" ht="15" hidden="false" customHeight="false" outlineLevel="0" collapsed="false">
      <c r="A1268" s="5" t="n">
        <v>1267</v>
      </c>
      <c r="B1268" s="5" t="s">
        <v>1444</v>
      </c>
      <c r="C1268" s="5" t="s">
        <v>464</v>
      </c>
      <c r="D1268" s="5" t="s">
        <v>36</v>
      </c>
      <c r="E1268" s="5" t="s">
        <v>1291</v>
      </c>
      <c r="F1268" s="5" t="s">
        <v>1428</v>
      </c>
      <c r="G1268" s="5" t="s">
        <v>39</v>
      </c>
      <c r="H1268" s="5" t="s">
        <v>40</v>
      </c>
      <c r="I1268" s="5" t="s">
        <v>796</v>
      </c>
      <c r="J1268" s="5" t="n">
        <v>4</v>
      </c>
      <c r="K1268" s="5"/>
      <c r="L1268" s="6"/>
      <c r="M1268" s="6"/>
      <c r="N1268" s="6"/>
      <c r="O1268" s="6"/>
      <c r="P1268" s="5" t="str">
        <f aca="false">IF(M1268="","",ROUND(M1268*IFERROR(INDEX(Weights!$B$2:$B$4,MATCH(G1268,Weights!$A$2:$A$4,0)),0)*IFERROR(INDEX(Weights!$B$7:$B$11,MATCH(E1268,Weights!$A$7:$A$11,0)),0)*IFERROR(INDEX(Weights!$B$14:$B$17,MATCH(TEXT(J1268,"0"),Weights!$A$14:$A$17,0)),0)/(1+N(N1268)/50),1))</f>
        <v/>
      </c>
      <c r="Q1268" s="5" t="s">
        <v>42</v>
      </c>
    </row>
    <row r="1269" customFormat="false" ht="15" hidden="false" customHeight="false" outlineLevel="0" collapsed="false">
      <c r="A1269" s="5" t="n">
        <v>1268</v>
      </c>
      <c r="B1269" s="5" t="s">
        <v>1445</v>
      </c>
      <c r="C1269" s="5" t="s">
        <v>464</v>
      </c>
      <c r="D1269" s="5" t="s">
        <v>36</v>
      </c>
      <c r="E1269" s="5" t="s">
        <v>1291</v>
      </c>
      <c r="F1269" s="5" t="s">
        <v>1428</v>
      </c>
      <c r="G1269" s="5" t="s">
        <v>39</v>
      </c>
      <c r="H1269" s="5" t="s">
        <v>40</v>
      </c>
      <c r="I1269" s="5" t="s">
        <v>796</v>
      </c>
      <c r="J1269" s="5" t="n">
        <v>4</v>
      </c>
      <c r="K1269" s="5"/>
      <c r="L1269" s="6"/>
      <c r="M1269" s="6"/>
      <c r="N1269" s="6"/>
      <c r="O1269" s="6"/>
      <c r="P1269" s="5" t="str">
        <f aca="false">IF(M1269="","",ROUND(M1269*IFERROR(INDEX(Weights!$B$2:$B$4,MATCH(G1269,Weights!$A$2:$A$4,0)),0)*IFERROR(INDEX(Weights!$B$7:$B$11,MATCH(E1269,Weights!$A$7:$A$11,0)),0)*IFERROR(INDEX(Weights!$B$14:$B$17,MATCH(TEXT(J1269,"0"),Weights!$A$14:$A$17,0)),0)/(1+N(N1269)/50),1))</f>
        <v/>
      </c>
      <c r="Q1269" s="5" t="s">
        <v>42</v>
      </c>
    </row>
    <row r="1270" customFormat="false" ht="15" hidden="false" customHeight="false" outlineLevel="0" collapsed="false">
      <c r="A1270" s="5" t="n">
        <v>1269</v>
      </c>
      <c r="B1270" s="5" t="s">
        <v>1446</v>
      </c>
      <c r="C1270" s="5" t="s">
        <v>456</v>
      </c>
      <c r="D1270" s="5" t="s">
        <v>36</v>
      </c>
      <c r="E1270" s="5" t="s">
        <v>1291</v>
      </c>
      <c r="F1270" s="5" t="s">
        <v>1428</v>
      </c>
      <c r="G1270" s="5" t="s">
        <v>39</v>
      </c>
      <c r="H1270" s="5" t="s">
        <v>40</v>
      </c>
      <c r="I1270" s="5" t="s">
        <v>796</v>
      </c>
      <c r="J1270" s="5" t="n">
        <v>4</v>
      </c>
      <c r="K1270" s="5"/>
      <c r="L1270" s="6"/>
      <c r="M1270" s="6"/>
      <c r="N1270" s="6"/>
      <c r="O1270" s="6"/>
      <c r="P1270" s="5" t="str">
        <f aca="false">IF(M1270="","",ROUND(M1270*IFERROR(INDEX(Weights!$B$2:$B$4,MATCH(G1270,Weights!$A$2:$A$4,0)),0)*IFERROR(INDEX(Weights!$B$7:$B$11,MATCH(E1270,Weights!$A$7:$A$11,0)),0)*IFERROR(INDEX(Weights!$B$14:$B$17,MATCH(TEXT(J1270,"0"),Weights!$A$14:$A$17,0)),0)/(1+N(N1270)/50),1))</f>
        <v/>
      </c>
      <c r="Q1270" s="5" t="s">
        <v>42</v>
      </c>
    </row>
    <row r="1271" customFormat="false" ht="15" hidden="false" customHeight="false" outlineLevel="0" collapsed="false">
      <c r="A1271" s="5" t="n">
        <v>1270</v>
      </c>
      <c r="B1271" s="5" t="s">
        <v>1447</v>
      </c>
      <c r="C1271" s="5" t="s">
        <v>456</v>
      </c>
      <c r="D1271" s="5" t="s">
        <v>36</v>
      </c>
      <c r="E1271" s="5" t="s">
        <v>1291</v>
      </c>
      <c r="F1271" s="5" t="s">
        <v>1428</v>
      </c>
      <c r="G1271" s="5" t="s">
        <v>39</v>
      </c>
      <c r="H1271" s="5" t="s">
        <v>40</v>
      </c>
      <c r="I1271" s="5" t="s">
        <v>796</v>
      </c>
      <c r="J1271" s="5" t="n">
        <v>4</v>
      </c>
      <c r="K1271" s="5"/>
      <c r="L1271" s="6"/>
      <c r="M1271" s="6"/>
      <c r="N1271" s="6"/>
      <c r="O1271" s="6"/>
      <c r="P1271" s="5" t="str">
        <f aca="false">IF(M1271="","",ROUND(M1271*IFERROR(INDEX(Weights!$B$2:$B$4,MATCH(G1271,Weights!$A$2:$A$4,0)),0)*IFERROR(INDEX(Weights!$B$7:$B$11,MATCH(E1271,Weights!$A$7:$A$11,0)),0)*IFERROR(INDEX(Weights!$B$14:$B$17,MATCH(TEXT(J1271,"0"),Weights!$A$14:$A$17,0)),0)/(1+N(N1271)/50),1))</f>
        <v/>
      </c>
      <c r="Q1271" s="5" t="s">
        <v>42</v>
      </c>
    </row>
    <row r="1272" customFormat="false" ht="15" hidden="false" customHeight="false" outlineLevel="0" collapsed="false">
      <c r="A1272" s="5" t="n">
        <v>1271</v>
      </c>
      <c r="B1272" s="5" t="s">
        <v>1448</v>
      </c>
      <c r="C1272" s="5" t="s">
        <v>456</v>
      </c>
      <c r="D1272" s="5" t="s">
        <v>36</v>
      </c>
      <c r="E1272" s="5" t="s">
        <v>1291</v>
      </c>
      <c r="F1272" s="5" t="s">
        <v>1428</v>
      </c>
      <c r="G1272" s="5" t="s">
        <v>39</v>
      </c>
      <c r="H1272" s="5" t="s">
        <v>40</v>
      </c>
      <c r="I1272" s="5" t="s">
        <v>796</v>
      </c>
      <c r="J1272" s="5" t="n">
        <v>4</v>
      </c>
      <c r="K1272" s="5" t="s">
        <v>1313</v>
      </c>
      <c r="L1272" s="6"/>
      <c r="M1272" s="6"/>
      <c r="N1272" s="6"/>
      <c r="O1272" s="6"/>
      <c r="P1272" s="5" t="str">
        <f aca="false">IF(M1272="","",ROUND(M1272*IFERROR(INDEX(Weights!$B$2:$B$4,MATCH(G1272,Weights!$A$2:$A$4,0)),0)*IFERROR(INDEX(Weights!$B$7:$B$11,MATCH(E1272,Weights!$A$7:$A$11,0)),0)*IFERROR(INDEX(Weights!$B$14:$B$17,MATCH(TEXT(J1272,"0"),Weights!$A$14:$A$17,0)),0)/(1+N(N1272)/50),1))</f>
        <v/>
      </c>
      <c r="Q1272" s="5" t="s">
        <v>122</v>
      </c>
    </row>
    <row r="1273" customFormat="false" ht="15" hidden="false" customHeight="false" outlineLevel="0" collapsed="false">
      <c r="A1273" s="5" t="n">
        <v>1272</v>
      </c>
      <c r="B1273" s="5" t="s">
        <v>1449</v>
      </c>
      <c r="C1273" s="5" t="s">
        <v>64</v>
      </c>
      <c r="D1273" s="5" t="s">
        <v>36</v>
      </c>
      <c r="E1273" s="5" t="s">
        <v>1291</v>
      </c>
      <c r="F1273" s="5" t="s">
        <v>1428</v>
      </c>
      <c r="G1273" s="5" t="s">
        <v>39</v>
      </c>
      <c r="H1273" s="5" t="s">
        <v>40</v>
      </c>
      <c r="I1273" s="5" t="s">
        <v>796</v>
      </c>
      <c r="J1273" s="5" t="n">
        <v>4</v>
      </c>
      <c r="K1273" s="5"/>
      <c r="L1273" s="6"/>
      <c r="M1273" s="6"/>
      <c r="N1273" s="6"/>
      <c r="O1273" s="6"/>
      <c r="P1273" s="5" t="str">
        <f aca="false">IF(M1273="","",ROUND(M1273*IFERROR(INDEX(Weights!$B$2:$B$4,MATCH(G1273,Weights!$A$2:$A$4,0)),0)*IFERROR(INDEX(Weights!$B$7:$B$11,MATCH(E1273,Weights!$A$7:$A$11,0)),0)*IFERROR(INDEX(Weights!$B$14:$B$17,MATCH(TEXT(J1273,"0"),Weights!$A$14:$A$17,0)),0)/(1+N(N1273)/50),1))</f>
        <v/>
      </c>
      <c r="Q1273" s="5" t="s">
        <v>42</v>
      </c>
    </row>
    <row r="1274" customFormat="false" ht="15" hidden="false" customHeight="false" outlineLevel="0" collapsed="false">
      <c r="A1274" s="5" t="n">
        <v>1273</v>
      </c>
      <c r="B1274" s="5" t="s">
        <v>1450</v>
      </c>
      <c r="C1274" s="5" t="s">
        <v>64</v>
      </c>
      <c r="D1274" s="5" t="s">
        <v>36</v>
      </c>
      <c r="E1274" s="5" t="s">
        <v>1291</v>
      </c>
      <c r="F1274" s="5" t="s">
        <v>1428</v>
      </c>
      <c r="G1274" s="5" t="s">
        <v>39</v>
      </c>
      <c r="H1274" s="5" t="s">
        <v>40</v>
      </c>
      <c r="I1274" s="5" t="s">
        <v>796</v>
      </c>
      <c r="J1274" s="5" t="n">
        <v>4</v>
      </c>
      <c r="K1274" s="5"/>
      <c r="L1274" s="6"/>
      <c r="M1274" s="6"/>
      <c r="N1274" s="6"/>
      <c r="O1274" s="6"/>
      <c r="P1274" s="5" t="str">
        <f aca="false">IF(M1274="","",ROUND(M1274*IFERROR(INDEX(Weights!$B$2:$B$4,MATCH(G1274,Weights!$A$2:$A$4,0)),0)*IFERROR(INDEX(Weights!$B$7:$B$11,MATCH(E1274,Weights!$A$7:$A$11,0)),0)*IFERROR(INDEX(Weights!$B$14:$B$17,MATCH(TEXT(J1274,"0"),Weights!$A$14:$A$17,0)),0)/(1+N(N1274)/50),1))</f>
        <v/>
      </c>
      <c r="Q1274" s="5" t="s">
        <v>42</v>
      </c>
    </row>
    <row r="1275" customFormat="false" ht="15" hidden="false" customHeight="false" outlineLevel="0" collapsed="false">
      <c r="A1275" s="5" t="n">
        <v>1274</v>
      </c>
      <c r="B1275" s="5" t="s">
        <v>1451</v>
      </c>
      <c r="C1275" s="5" t="s">
        <v>61</v>
      </c>
      <c r="D1275" s="5" t="s">
        <v>36</v>
      </c>
      <c r="E1275" s="5" t="s">
        <v>1291</v>
      </c>
      <c r="F1275" s="5" t="s">
        <v>1428</v>
      </c>
      <c r="G1275" s="5" t="s">
        <v>39</v>
      </c>
      <c r="H1275" s="5" t="s">
        <v>40</v>
      </c>
      <c r="I1275" s="5" t="s">
        <v>796</v>
      </c>
      <c r="J1275" s="5" t="n">
        <v>4</v>
      </c>
      <c r="K1275" s="5"/>
      <c r="L1275" s="6"/>
      <c r="M1275" s="6"/>
      <c r="N1275" s="6"/>
      <c r="O1275" s="6"/>
      <c r="P1275" s="5" t="str">
        <f aca="false">IF(M1275="","",ROUND(M1275*IFERROR(INDEX(Weights!$B$2:$B$4,MATCH(G1275,Weights!$A$2:$A$4,0)),0)*IFERROR(INDEX(Weights!$B$7:$B$11,MATCH(E1275,Weights!$A$7:$A$11,0)),0)*IFERROR(INDEX(Weights!$B$14:$B$17,MATCH(TEXT(J1275,"0"),Weights!$A$14:$A$17,0)),0)/(1+N(N1275)/50),1))</f>
        <v/>
      </c>
      <c r="Q1275" s="5" t="s">
        <v>42</v>
      </c>
    </row>
    <row r="1276" customFormat="false" ht="15" hidden="false" customHeight="false" outlineLevel="0" collapsed="false">
      <c r="A1276" s="5" t="n">
        <v>1275</v>
      </c>
      <c r="B1276" s="5" t="s">
        <v>1452</v>
      </c>
      <c r="C1276" s="5" t="s">
        <v>66</v>
      </c>
      <c r="D1276" s="5" t="s">
        <v>36</v>
      </c>
      <c r="E1276" s="5" t="s">
        <v>1291</v>
      </c>
      <c r="F1276" s="5" t="s">
        <v>1428</v>
      </c>
      <c r="G1276" s="5" t="s">
        <v>39</v>
      </c>
      <c r="H1276" s="5" t="s">
        <v>40</v>
      </c>
      <c r="I1276" s="5" t="s">
        <v>796</v>
      </c>
      <c r="J1276" s="5" t="n">
        <v>4</v>
      </c>
      <c r="K1276" s="5"/>
      <c r="L1276" s="6"/>
      <c r="M1276" s="6"/>
      <c r="N1276" s="6"/>
      <c r="O1276" s="6"/>
      <c r="P1276" s="5" t="str">
        <f aca="false">IF(M1276="","",ROUND(M1276*IFERROR(INDEX(Weights!$B$2:$B$4,MATCH(G1276,Weights!$A$2:$A$4,0)),0)*IFERROR(INDEX(Weights!$B$7:$B$11,MATCH(E1276,Weights!$A$7:$A$11,0)),0)*IFERROR(INDEX(Weights!$B$14:$B$17,MATCH(TEXT(J1276,"0"),Weights!$A$14:$A$17,0)),0)/(1+N(N1276)/50),1))</f>
        <v/>
      </c>
      <c r="Q1276" s="5" t="s">
        <v>42</v>
      </c>
    </row>
    <row r="1277" customFormat="false" ht="15" hidden="false" customHeight="false" outlineLevel="0" collapsed="false">
      <c r="A1277" s="5" t="n">
        <v>1276</v>
      </c>
      <c r="B1277" s="5" t="s">
        <v>1453</v>
      </c>
      <c r="C1277" s="5" t="s">
        <v>69</v>
      </c>
      <c r="D1277" s="5" t="s">
        <v>36</v>
      </c>
      <c r="E1277" s="5" t="s">
        <v>1291</v>
      </c>
      <c r="F1277" s="5" t="s">
        <v>1428</v>
      </c>
      <c r="G1277" s="5" t="s">
        <v>39</v>
      </c>
      <c r="H1277" s="5" t="s">
        <v>40</v>
      </c>
      <c r="I1277" s="5" t="s">
        <v>796</v>
      </c>
      <c r="J1277" s="5" t="n">
        <v>4</v>
      </c>
      <c r="K1277" s="5"/>
      <c r="L1277" s="6"/>
      <c r="M1277" s="6"/>
      <c r="N1277" s="6"/>
      <c r="O1277" s="6"/>
      <c r="P1277" s="5" t="str">
        <f aca="false">IF(M1277="","",ROUND(M1277*IFERROR(INDEX(Weights!$B$2:$B$4,MATCH(G1277,Weights!$A$2:$A$4,0)),0)*IFERROR(INDEX(Weights!$B$7:$B$11,MATCH(E1277,Weights!$A$7:$A$11,0)),0)*IFERROR(INDEX(Weights!$B$14:$B$17,MATCH(TEXT(J1277,"0"),Weights!$A$14:$A$17,0)),0)/(1+N(N1277)/50),1))</f>
        <v/>
      </c>
      <c r="Q1277" s="5" t="s">
        <v>42</v>
      </c>
    </row>
    <row r="1278" customFormat="false" ht="15" hidden="false" customHeight="false" outlineLevel="0" collapsed="false">
      <c r="A1278" s="5" t="n">
        <v>1277</v>
      </c>
      <c r="B1278" s="5" t="s">
        <v>1454</v>
      </c>
      <c r="C1278" s="5" t="s">
        <v>47</v>
      </c>
      <c r="D1278" s="5" t="s">
        <v>399</v>
      </c>
      <c r="E1278" s="5" t="s">
        <v>656</v>
      </c>
      <c r="F1278" s="5" t="s">
        <v>767</v>
      </c>
      <c r="G1278" s="5" t="s">
        <v>394</v>
      </c>
      <c r="H1278" s="5" t="s">
        <v>395</v>
      </c>
      <c r="I1278" s="5" t="s">
        <v>1455</v>
      </c>
      <c r="J1278" s="5" t="n">
        <v>1</v>
      </c>
      <c r="K1278" s="5"/>
      <c r="L1278" s="6"/>
      <c r="M1278" s="6"/>
      <c r="N1278" s="6"/>
      <c r="O1278" s="6"/>
      <c r="P1278" s="5" t="str">
        <f aca="false">IF(M1278="","",ROUND(M1278*IFERROR(INDEX(Weights!$B$2:$B$4,MATCH(G1278,Weights!$A$2:$A$4,0)),0)*IFERROR(INDEX(Weights!$B$7:$B$11,MATCH(E1278,Weights!$A$7:$A$11,0)),0)*IFERROR(INDEX(Weights!$B$14:$B$17,MATCH(TEXT(J1278,"0"),Weights!$A$14:$A$17,0)),0)/(1+N(N1278)/50),1))</f>
        <v/>
      </c>
      <c r="Q1278" s="5" t="s">
        <v>42</v>
      </c>
    </row>
    <row r="1279" customFormat="false" ht="15" hidden="false" customHeight="false" outlineLevel="0" collapsed="false">
      <c r="A1279" s="5" t="n">
        <v>1278</v>
      </c>
      <c r="B1279" s="5" t="s">
        <v>1456</v>
      </c>
      <c r="C1279" s="5" t="s">
        <v>35</v>
      </c>
      <c r="D1279" s="5" t="s">
        <v>399</v>
      </c>
      <c r="E1279" s="5" t="s">
        <v>656</v>
      </c>
      <c r="F1279" s="5" t="s">
        <v>767</v>
      </c>
      <c r="G1279" s="5" t="s">
        <v>394</v>
      </c>
      <c r="H1279" s="5" t="s">
        <v>395</v>
      </c>
      <c r="I1279" s="5" t="s">
        <v>1455</v>
      </c>
      <c r="J1279" s="5" t="n">
        <v>1</v>
      </c>
      <c r="K1279" s="5"/>
      <c r="L1279" s="6"/>
      <c r="M1279" s="6"/>
      <c r="N1279" s="6"/>
      <c r="O1279" s="6"/>
      <c r="P1279" s="5" t="str">
        <f aca="false">IF(M1279="","",ROUND(M1279*IFERROR(INDEX(Weights!$B$2:$B$4,MATCH(G1279,Weights!$A$2:$A$4,0)),0)*IFERROR(INDEX(Weights!$B$7:$B$11,MATCH(E1279,Weights!$A$7:$A$11,0)),0)*IFERROR(INDEX(Weights!$B$14:$B$17,MATCH(TEXT(J1279,"0"),Weights!$A$14:$A$17,0)),0)/(1+N(N1279)/50),1))</f>
        <v/>
      </c>
      <c r="Q1279" s="5" t="s">
        <v>42</v>
      </c>
    </row>
    <row r="1280" customFormat="false" ht="15" hidden="false" customHeight="false" outlineLevel="0" collapsed="false">
      <c r="A1280" s="5" t="n">
        <v>1279</v>
      </c>
      <c r="B1280" s="5" t="s">
        <v>1457</v>
      </c>
      <c r="C1280" s="5" t="s">
        <v>64</v>
      </c>
      <c r="D1280" s="5" t="s">
        <v>399</v>
      </c>
      <c r="E1280" s="5" t="s">
        <v>656</v>
      </c>
      <c r="F1280" s="5" t="s">
        <v>767</v>
      </c>
      <c r="G1280" s="5" t="s">
        <v>394</v>
      </c>
      <c r="H1280" s="5" t="s">
        <v>395</v>
      </c>
      <c r="I1280" s="5" t="s">
        <v>1455</v>
      </c>
      <c r="J1280" s="5" t="n">
        <v>2</v>
      </c>
      <c r="K1280" s="5"/>
      <c r="L1280" s="6"/>
      <c r="M1280" s="6"/>
      <c r="N1280" s="6"/>
      <c r="O1280" s="6"/>
      <c r="P1280" s="5" t="str">
        <f aca="false">IF(M1280="","",ROUND(M1280*IFERROR(INDEX(Weights!$B$2:$B$4,MATCH(G1280,Weights!$A$2:$A$4,0)),0)*IFERROR(INDEX(Weights!$B$7:$B$11,MATCH(E1280,Weights!$A$7:$A$11,0)),0)*IFERROR(INDEX(Weights!$B$14:$B$17,MATCH(TEXT(J1280,"0"),Weights!$A$14:$A$17,0)),0)/(1+N(N1280)/50),1))</f>
        <v/>
      </c>
      <c r="Q1280" s="5" t="s">
        <v>42</v>
      </c>
    </row>
    <row r="1281" customFormat="false" ht="15" hidden="false" customHeight="false" outlineLevel="0" collapsed="false">
      <c r="A1281" s="5" t="n">
        <v>1280</v>
      </c>
      <c r="B1281" s="5" t="s">
        <v>1458</v>
      </c>
      <c r="C1281" s="5" t="s">
        <v>57</v>
      </c>
      <c r="D1281" s="5" t="s">
        <v>399</v>
      </c>
      <c r="E1281" s="5" t="s">
        <v>656</v>
      </c>
      <c r="F1281" s="5" t="s">
        <v>767</v>
      </c>
      <c r="G1281" s="5" t="s">
        <v>394</v>
      </c>
      <c r="H1281" s="5" t="s">
        <v>395</v>
      </c>
      <c r="I1281" s="5" t="s">
        <v>1455</v>
      </c>
      <c r="J1281" s="5" t="n">
        <v>2</v>
      </c>
      <c r="K1281" s="5"/>
      <c r="L1281" s="6"/>
      <c r="M1281" s="6"/>
      <c r="N1281" s="6"/>
      <c r="O1281" s="6"/>
      <c r="P1281" s="5" t="str">
        <f aca="false">IF(M1281="","",ROUND(M1281*IFERROR(INDEX(Weights!$B$2:$B$4,MATCH(G1281,Weights!$A$2:$A$4,0)),0)*IFERROR(INDEX(Weights!$B$7:$B$11,MATCH(E1281,Weights!$A$7:$A$11,0)),0)*IFERROR(INDEX(Weights!$B$14:$B$17,MATCH(TEXT(J1281,"0"),Weights!$A$14:$A$17,0)),0)/(1+N(N1281)/50),1))</f>
        <v/>
      </c>
      <c r="Q1281" s="5" t="s">
        <v>42</v>
      </c>
    </row>
    <row r="1282" customFormat="false" ht="15" hidden="false" customHeight="false" outlineLevel="0" collapsed="false">
      <c r="A1282" s="5" t="n">
        <v>1281</v>
      </c>
      <c r="B1282" s="5" t="s">
        <v>1459</v>
      </c>
      <c r="C1282" s="5" t="s">
        <v>35</v>
      </c>
      <c r="D1282" s="5" t="s">
        <v>393</v>
      </c>
      <c r="E1282" s="5" t="s">
        <v>656</v>
      </c>
      <c r="F1282" s="5" t="s">
        <v>767</v>
      </c>
      <c r="G1282" s="5" t="s">
        <v>394</v>
      </c>
      <c r="H1282" s="5" t="s">
        <v>395</v>
      </c>
      <c r="I1282" s="5" t="s">
        <v>396</v>
      </c>
      <c r="J1282" s="5" t="n">
        <v>1</v>
      </c>
      <c r="K1282" s="5"/>
      <c r="L1282" s="6"/>
      <c r="M1282" s="6"/>
      <c r="N1282" s="6"/>
      <c r="O1282" s="6"/>
      <c r="P1282" s="5" t="str">
        <f aca="false">IF(M1282="","",ROUND(M1282*IFERROR(INDEX(Weights!$B$2:$B$4,MATCH(G1282,Weights!$A$2:$A$4,0)),0)*IFERROR(INDEX(Weights!$B$7:$B$11,MATCH(E1282,Weights!$A$7:$A$11,0)),0)*IFERROR(INDEX(Weights!$B$14:$B$17,MATCH(TEXT(J1282,"0"),Weights!$A$14:$A$17,0)),0)/(1+N(N1282)/50),1))</f>
        <v/>
      </c>
      <c r="Q1282" s="5" t="s">
        <v>42</v>
      </c>
    </row>
    <row r="1283" customFormat="false" ht="15" hidden="false" customHeight="false" outlineLevel="0" collapsed="false">
      <c r="A1283" s="5" t="n">
        <v>1282</v>
      </c>
      <c r="B1283" s="5" t="s">
        <v>1460</v>
      </c>
      <c r="C1283" s="5" t="s">
        <v>35</v>
      </c>
      <c r="D1283" s="5" t="s">
        <v>393</v>
      </c>
      <c r="E1283" s="5" t="s">
        <v>656</v>
      </c>
      <c r="F1283" s="5" t="s">
        <v>767</v>
      </c>
      <c r="G1283" s="5" t="s">
        <v>394</v>
      </c>
      <c r="H1283" s="5" t="s">
        <v>395</v>
      </c>
      <c r="I1283" s="5" t="s">
        <v>396</v>
      </c>
      <c r="J1283" s="5" t="n">
        <v>1</v>
      </c>
      <c r="K1283" s="5"/>
      <c r="L1283" s="6"/>
      <c r="M1283" s="6"/>
      <c r="N1283" s="6"/>
      <c r="O1283" s="6"/>
      <c r="P1283" s="5" t="str">
        <f aca="false">IF(M1283="","",ROUND(M1283*IFERROR(INDEX(Weights!$B$2:$B$4,MATCH(G1283,Weights!$A$2:$A$4,0)),0)*IFERROR(INDEX(Weights!$B$7:$B$11,MATCH(E1283,Weights!$A$7:$A$11,0)),0)*IFERROR(INDEX(Weights!$B$14:$B$17,MATCH(TEXT(J1283,"0"),Weights!$A$14:$A$17,0)),0)/(1+N(N1283)/50),1))</f>
        <v/>
      </c>
      <c r="Q1283" s="5" t="s">
        <v>42</v>
      </c>
    </row>
    <row r="1284" customFormat="false" ht="15" hidden="false" customHeight="false" outlineLevel="0" collapsed="false">
      <c r="A1284" s="5" t="n">
        <v>1283</v>
      </c>
      <c r="B1284" s="5" t="s">
        <v>1461</v>
      </c>
      <c r="C1284" s="5" t="s">
        <v>434</v>
      </c>
      <c r="D1284" s="5" t="s">
        <v>419</v>
      </c>
      <c r="E1284" s="5" t="s">
        <v>656</v>
      </c>
      <c r="F1284" s="5" t="s">
        <v>767</v>
      </c>
      <c r="G1284" s="5" t="s">
        <v>39</v>
      </c>
      <c r="H1284" s="5" t="s">
        <v>395</v>
      </c>
      <c r="I1284" s="5" t="s">
        <v>1462</v>
      </c>
      <c r="J1284" s="5" t="n">
        <v>1</v>
      </c>
      <c r="K1284" s="5"/>
      <c r="L1284" s="6"/>
      <c r="M1284" s="6"/>
      <c r="N1284" s="6"/>
      <c r="O1284" s="6"/>
      <c r="P1284" s="5" t="str">
        <f aca="false">IF(M1284="","",ROUND(M1284*IFERROR(INDEX(Weights!$B$2:$B$4,MATCH(G1284,Weights!$A$2:$A$4,0)),0)*IFERROR(INDEX(Weights!$B$7:$B$11,MATCH(E1284,Weights!$A$7:$A$11,0)),0)*IFERROR(INDEX(Weights!$B$14:$B$17,MATCH(TEXT(J1284,"0"),Weights!$A$14:$A$17,0)),0)/(1+N(N1284)/50),1))</f>
        <v/>
      </c>
      <c r="Q1284" s="5" t="s">
        <v>42</v>
      </c>
    </row>
    <row r="1285" customFormat="false" ht="15" hidden="false" customHeight="false" outlineLevel="0" collapsed="false">
      <c r="A1285" s="5" t="n">
        <v>1284</v>
      </c>
      <c r="B1285" s="5" t="s">
        <v>1463</v>
      </c>
      <c r="C1285" s="5" t="s">
        <v>434</v>
      </c>
      <c r="D1285" s="5" t="s">
        <v>419</v>
      </c>
      <c r="E1285" s="5" t="s">
        <v>656</v>
      </c>
      <c r="F1285" s="5" t="s">
        <v>767</v>
      </c>
      <c r="G1285" s="5" t="s">
        <v>404</v>
      </c>
      <c r="H1285" s="5" t="s">
        <v>405</v>
      </c>
      <c r="I1285" s="5" t="s">
        <v>1462</v>
      </c>
      <c r="J1285" s="5" t="n">
        <v>1</v>
      </c>
      <c r="K1285" s="5"/>
      <c r="L1285" s="6"/>
      <c r="M1285" s="6"/>
      <c r="N1285" s="6"/>
      <c r="O1285" s="6"/>
      <c r="P1285" s="5" t="str">
        <f aca="false">IF(M1285="","",ROUND(M1285*IFERROR(INDEX(Weights!$B$2:$B$4,MATCH(G1285,Weights!$A$2:$A$4,0)),0)*IFERROR(INDEX(Weights!$B$7:$B$11,MATCH(E1285,Weights!$A$7:$A$11,0)),0)*IFERROR(INDEX(Weights!$B$14:$B$17,MATCH(TEXT(J1285,"0"),Weights!$A$14:$A$17,0)),0)/(1+N(N1285)/50),1))</f>
        <v/>
      </c>
      <c r="Q1285" s="5" t="s">
        <v>42</v>
      </c>
    </row>
    <row r="1286" customFormat="false" ht="15" hidden="false" customHeight="false" outlineLevel="0" collapsed="false">
      <c r="A1286" s="5" t="n">
        <v>1285</v>
      </c>
      <c r="B1286" s="5" t="s">
        <v>1464</v>
      </c>
      <c r="C1286" s="5" t="s">
        <v>434</v>
      </c>
      <c r="D1286" s="5" t="s">
        <v>419</v>
      </c>
      <c r="E1286" s="5" t="s">
        <v>656</v>
      </c>
      <c r="F1286" s="5" t="s">
        <v>767</v>
      </c>
      <c r="G1286" s="5" t="s">
        <v>404</v>
      </c>
      <c r="H1286" s="5" t="s">
        <v>405</v>
      </c>
      <c r="I1286" s="5" t="s">
        <v>1462</v>
      </c>
      <c r="J1286" s="5" t="n">
        <v>2</v>
      </c>
      <c r="K1286" s="5"/>
      <c r="L1286" s="6"/>
      <c r="M1286" s="6"/>
      <c r="N1286" s="6"/>
      <c r="O1286" s="6"/>
      <c r="P1286" s="5" t="str">
        <f aca="false">IF(M1286="","",ROUND(M1286*IFERROR(INDEX(Weights!$B$2:$B$4,MATCH(G1286,Weights!$A$2:$A$4,0)),0)*IFERROR(INDEX(Weights!$B$7:$B$11,MATCH(E1286,Weights!$A$7:$A$11,0)),0)*IFERROR(INDEX(Weights!$B$14:$B$17,MATCH(TEXT(J1286,"0"),Weights!$A$14:$A$17,0)),0)/(1+N(N1286)/50),1))</f>
        <v/>
      </c>
      <c r="Q1286" s="5" t="s">
        <v>42</v>
      </c>
    </row>
    <row r="1287" customFormat="false" ht="15" hidden="false" customHeight="false" outlineLevel="0" collapsed="false">
      <c r="A1287" s="5" t="n">
        <v>1286</v>
      </c>
      <c r="B1287" s="5" t="s">
        <v>1465</v>
      </c>
      <c r="C1287" s="5" t="s">
        <v>434</v>
      </c>
      <c r="D1287" s="5" t="s">
        <v>419</v>
      </c>
      <c r="E1287" s="5" t="s">
        <v>656</v>
      </c>
      <c r="F1287" s="5" t="s">
        <v>767</v>
      </c>
      <c r="G1287" s="5" t="s">
        <v>404</v>
      </c>
      <c r="H1287" s="5" t="s">
        <v>405</v>
      </c>
      <c r="I1287" s="5" t="s">
        <v>1462</v>
      </c>
      <c r="J1287" s="5" t="n">
        <v>1</v>
      </c>
      <c r="K1287" s="5"/>
      <c r="L1287" s="6"/>
      <c r="M1287" s="6"/>
      <c r="N1287" s="6"/>
      <c r="O1287" s="6"/>
      <c r="P1287" s="5" t="str">
        <f aca="false">IF(M1287="","",ROUND(M1287*IFERROR(INDEX(Weights!$B$2:$B$4,MATCH(G1287,Weights!$A$2:$A$4,0)),0)*IFERROR(INDEX(Weights!$B$7:$B$11,MATCH(E1287,Weights!$A$7:$A$11,0)),0)*IFERROR(INDEX(Weights!$B$14:$B$17,MATCH(TEXT(J1287,"0"),Weights!$A$14:$A$17,0)),0)/(1+N(N1287)/50),1))</f>
        <v/>
      </c>
      <c r="Q1287" s="5" t="s">
        <v>42</v>
      </c>
    </row>
    <row r="1288" customFormat="false" ht="15" hidden="false" customHeight="false" outlineLevel="0" collapsed="false">
      <c r="A1288" s="5" t="n">
        <v>1287</v>
      </c>
      <c r="B1288" s="5" t="s">
        <v>1466</v>
      </c>
      <c r="C1288" s="5" t="s">
        <v>434</v>
      </c>
      <c r="D1288" s="5" t="s">
        <v>19</v>
      </c>
      <c r="E1288" s="5" t="s">
        <v>656</v>
      </c>
      <c r="F1288" s="5" t="s">
        <v>767</v>
      </c>
      <c r="G1288" s="5" t="s">
        <v>39</v>
      </c>
      <c r="H1288" s="5" t="s">
        <v>40</v>
      </c>
      <c r="I1288" s="5" t="s">
        <v>1462</v>
      </c>
      <c r="J1288" s="5" t="n">
        <v>1</v>
      </c>
      <c r="K1288" s="5"/>
      <c r="L1288" s="6"/>
      <c r="M1288" s="6"/>
      <c r="N1288" s="6"/>
      <c r="O1288" s="6"/>
      <c r="P1288" s="5" t="str">
        <f aca="false">IF(M1288="","",ROUND(M1288*IFERROR(INDEX(Weights!$B$2:$B$4,MATCH(G1288,Weights!$A$2:$A$4,0)),0)*IFERROR(INDEX(Weights!$B$7:$B$11,MATCH(E1288,Weights!$A$7:$A$11,0)),0)*IFERROR(INDEX(Weights!$B$14:$B$17,MATCH(TEXT(J1288,"0"),Weights!$A$14:$A$17,0)),0)/(1+N(N1288)/50),1))</f>
        <v/>
      </c>
      <c r="Q1288" s="5" t="s">
        <v>42</v>
      </c>
    </row>
    <row r="1289" customFormat="false" ht="15" hidden="false" customHeight="false" outlineLevel="0" collapsed="false">
      <c r="A1289" s="5" t="n">
        <v>1288</v>
      </c>
      <c r="B1289" s="5" t="s">
        <v>1467</v>
      </c>
      <c r="C1289" s="5" t="s">
        <v>54</v>
      </c>
      <c r="D1289" s="5" t="s">
        <v>403</v>
      </c>
      <c r="E1289" s="5" t="s">
        <v>656</v>
      </c>
      <c r="F1289" s="5" t="s">
        <v>767</v>
      </c>
      <c r="G1289" s="5" t="s">
        <v>404</v>
      </c>
      <c r="H1289" s="5" t="s">
        <v>405</v>
      </c>
      <c r="I1289" s="5" t="s">
        <v>406</v>
      </c>
      <c r="J1289" s="5" t="n">
        <v>2</v>
      </c>
      <c r="K1289" s="5"/>
      <c r="L1289" s="6"/>
      <c r="M1289" s="6"/>
      <c r="N1289" s="6"/>
      <c r="O1289" s="6"/>
      <c r="P1289" s="5" t="str">
        <f aca="false">IF(M1289="","",ROUND(M1289*IFERROR(INDEX(Weights!$B$2:$B$4,MATCH(G1289,Weights!$A$2:$A$4,0)),0)*IFERROR(INDEX(Weights!$B$7:$B$11,MATCH(E1289,Weights!$A$7:$A$11,0)),0)*IFERROR(INDEX(Weights!$B$14:$B$17,MATCH(TEXT(J1289,"0"),Weights!$A$14:$A$17,0)),0)/(1+N(N1289)/50),1))</f>
        <v/>
      </c>
      <c r="Q1289" s="5" t="s">
        <v>42</v>
      </c>
    </row>
    <row r="1290" customFormat="false" ht="15" hidden="false" customHeight="false" outlineLevel="0" collapsed="false">
      <c r="A1290" s="5" t="n">
        <v>1289</v>
      </c>
      <c r="B1290" s="5" t="s">
        <v>1468</v>
      </c>
      <c r="C1290" s="5" t="s">
        <v>54</v>
      </c>
      <c r="D1290" s="5" t="s">
        <v>403</v>
      </c>
      <c r="E1290" s="5" t="s">
        <v>656</v>
      </c>
      <c r="F1290" s="5" t="s">
        <v>767</v>
      </c>
      <c r="G1290" s="5" t="s">
        <v>404</v>
      </c>
      <c r="H1290" s="5" t="s">
        <v>405</v>
      </c>
      <c r="I1290" s="5" t="s">
        <v>406</v>
      </c>
      <c r="J1290" s="5" t="n">
        <v>2</v>
      </c>
      <c r="K1290" s="5"/>
      <c r="L1290" s="6"/>
      <c r="M1290" s="6"/>
      <c r="N1290" s="6"/>
      <c r="O1290" s="6"/>
      <c r="P1290" s="5" t="str">
        <f aca="false">IF(M1290="","",ROUND(M1290*IFERROR(INDEX(Weights!$B$2:$B$4,MATCH(G1290,Weights!$A$2:$A$4,0)),0)*IFERROR(INDEX(Weights!$B$7:$B$11,MATCH(E1290,Weights!$A$7:$A$11,0)),0)*IFERROR(INDEX(Weights!$B$14:$B$17,MATCH(TEXT(J1290,"0"),Weights!$A$14:$A$17,0)),0)/(1+N(N1290)/50),1))</f>
        <v/>
      </c>
      <c r="Q1290" s="5" t="s">
        <v>42</v>
      </c>
    </row>
    <row r="1291" customFormat="false" ht="15" hidden="false" customHeight="false" outlineLevel="0" collapsed="false">
      <c r="A1291" s="5" t="n">
        <v>1290</v>
      </c>
      <c r="B1291" s="5" t="s">
        <v>1469</v>
      </c>
      <c r="C1291" s="5" t="s">
        <v>69</v>
      </c>
      <c r="D1291" s="5" t="s">
        <v>403</v>
      </c>
      <c r="E1291" s="5" t="s">
        <v>656</v>
      </c>
      <c r="F1291" s="5" t="s">
        <v>767</v>
      </c>
      <c r="G1291" s="5" t="s">
        <v>404</v>
      </c>
      <c r="H1291" s="5" t="s">
        <v>405</v>
      </c>
      <c r="I1291" s="5" t="s">
        <v>406</v>
      </c>
      <c r="J1291" s="5" t="n">
        <v>2</v>
      </c>
      <c r="K1291" s="5"/>
      <c r="L1291" s="6"/>
      <c r="M1291" s="6"/>
      <c r="N1291" s="6"/>
      <c r="O1291" s="6"/>
      <c r="P1291" s="5" t="str">
        <f aca="false">IF(M1291="","",ROUND(M1291*IFERROR(INDEX(Weights!$B$2:$B$4,MATCH(G1291,Weights!$A$2:$A$4,0)),0)*IFERROR(INDEX(Weights!$B$7:$B$11,MATCH(E1291,Weights!$A$7:$A$11,0)),0)*IFERROR(INDEX(Weights!$B$14:$B$17,MATCH(TEXT(J1291,"0"),Weights!$A$14:$A$17,0)),0)/(1+N(N1291)/50),1))</f>
        <v/>
      </c>
      <c r="Q1291" s="5" t="s">
        <v>42</v>
      </c>
    </row>
    <row r="1292" customFormat="false" ht="15" hidden="false" customHeight="false" outlineLevel="0" collapsed="false">
      <c r="A1292" s="5" t="n">
        <v>1291</v>
      </c>
      <c r="B1292" s="5" t="s">
        <v>1470</v>
      </c>
      <c r="C1292" s="5" t="s">
        <v>35</v>
      </c>
      <c r="D1292" s="5" t="s">
        <v>403</v>
      </c>
      <c r="E1292" s="5" t="s">
        <v>656</v>
      </c>
      <c r="F1292" s="5" t="s">
        <v>767</v>
      </c>
      <c r="G1292" s="5" t="s">
        <v>404</v>
      </c>
      <c r="H1292" s="5" t="s">
        <v>405</v>
      </c>
      <c r="I1292" s="5" t="s">
        <v>1471</v>
      </c>
      <c r="J1292" s="5" t="n">
        <v>1</v>
      </c>
      <c r="K1292" s="5"/>
      <c r="L1292" s="6"/>
      <c r="M1292" s="6"/>
      <c r="N1292" s="6"/>
      <c r="O1292" s="6"/>
      <c r="P1292" s="5" t="str">
        <f aca="false">IF(M1292="","",ROUND(M1292*IFERROR(INDEX(Weights!$B$2:$B$4,MATCH(G1292,Weights!$A$2:$A$4,0)),0)*IFERROR(INDEX(Weights!$B$7:$B$11,MATCH(E1292,Weights!$A$7:$A$11,0)),0)*IFERROR(INDEX(Weights!$B$14:$B$17,MATCH(TEXT(J1292,"0"),Weights!$A$14:$A$17,0)),0)/(1+N(N1292)/50),1))</f>
        <v/>
      </c>
      <c r="Q1292" s="5" t="s">
        <v>42</v>
      </c>
    </row>
    <row r="1293" customFormat="false" ht="15" hidden="false" customHeight="false" outlineLevel="0" collapsed="false">
      <c r="A1293" s="5" t="n">
        <v>1292</v>
      </c>
      <c r="B1293" s="5" t="s">
        <v>1472</v>
      </c>
      <c r="C1293" s="5" t="s">
        <v>35</v>
      </c>
      <c r="D1293" s="5" t="s">
        <v>403</v>
      </c>
      <c r="E1293" s="5" t="s">
        <v>656</v>
      </c>
      <c r="F1293" s="5" t="s">
        <v>767</v>
      </c>
      <c r="G1293" s="5" t="s">
        <v>404</v>
      </c>
      <c r="H1293" s="5" t="s">
        <v>405</v>
      </c>
      <c r="I1293" s="5" t="s">
        <v>1471</v>
      </c>
      <c r="J1293" s="5" t="n">
        <v>1</v>
      </c>
      <c r="K1293" s="5"/>
      <c r="L1293" s="6"/>
      <c r="M1293" s="6"/>
      <c r="N1293" s="6"/>
      <c r="O1293" s="6"/>
      <c r="P1293" s="5" t="str">
        <f aca="false">IF(M1293="","",ROUND(M1293*IFERROR(INDEX(Weights!$B$2:$B$4,MATCH(G1293,Weights!$A$2:$A$4,0)),0)*IFERROR(INDEX(Weights!$B$7:$B$11,MATCH(E1293,Weights!$A$7:$A$11,0)),0)*IFERROR(INDEX(Weights!$B$14:$B$17,MATCH(TEXT(J1293,"0"),Weights!$A$14:$A$17,0)),0)/(1+N(N1293)/50),1))</f>
        <v/>
      </c>
      <c r="Q1293" s="5" t="s">
        <v>42</v>
      </c>
    </row>
    <row r="1294" customFormat="false" ht="15" hidden="false" customHeight="false" outlineLevel="0" collapsed="false">
      <c r="A1294" s="5" t="n">
        <v>1293</v>
      </c>
      <c r="B1294" s="5" t="s">
        <v>1473</v>
      </c>
      <c r="C1294" s="5" t="s">
        <v>64</v>
      </c>
      <c r="D1294" s="5" t="s">
        <v>19</v>
      </c>
      <c r="E1294" s="5" t="s">
        <v>656</v>
      </c>
      <c r="F1294" s="5" t="s">
        <v>767</v>
      </c>
      <c r="G1294" s="5" t="s">
        <v>39</v>
      </c>
      <c r="H1294" s="5" t="s">
        <v>40</v>
      </c>
      <c r="I1294" s="5" t="s">
        <v>658</v>
      </c>
      <c r="J1294" s="5" t="n">
        <v>2</v>
      </c>
      <c r="K1294" s="5"/>
      <c r="L1294" s="6"/>
      <c r="M1294" s="6"/>
      <c r="N1294" s="6"/>
      <c r="O1294" s="6"/>
      <c r="P1294" s="5" t="str">
        <f aca="false">IF(M1294="","",ROUND(M1294*IFERROR(INDEX(Weights!$B$2:$B$4,MATCH(G1294,Weights!$A$2:$A$4,0)),0)*IFERROR(INDEX(Weights!$B$7:$B$11,MATCH(E1294,Weights!$A$7:$A$11,0)),0)*IFERROR(INDEX(Weights!$B$14:$B$17,MATCH(TEXT(J1294,"0"),Weights!$A$14:$A$17,0)),0)/(1+N(N1294)/50),1))</f>
        <v/>
      </c>
      <c r="Q1294" s="5" t="s">
        <v>42</v>
      </c>
    </row>
    <row r="1295" customFormat="false" ht="15" hidden="false" customHeight="false" outlineLevel="0" collapsed="false">
      <c r="A1295" s="5" t="n">
        <v>1294</v>
      </c>
      <c r="B1295" s="5" t="s">
        <v>1474</v>
      </c>
      <c r="C1295" s="5" t="s">
        <v>64</v>
      </c>
      <c r="D1295" s="5" t="s">
        <v>19</v>
      </c>
      <c r="E1295" s="5" t="s">
        <v>656</v>
      </c>
      <c r="F1295" s="5" t="s">
        <v>767</v>
      </c>
      <c r="G1295" s="5" t="s">
        <v>39</v>
      </c>
      <c r="H1295" s="5" t="s">
        <v>40</v>
      </c>
      <c r="I1295" s="5" t="s">
        <v>658</v>
      </c>
      <c r="J1295" s="5" t="n">
        <v>2</v>
      </c>
      <c r="K1295" s="5"/>
      <c r="L1295" s="6"/>
      <c r="M1295" s="6"/>
      <c r="N1295" s="6"/>
      <c r="O1295" s="6"/>
      <c r="P1295" s="5" t="str">
        <f aca="false">IF(M1295="","",ROUND(M1295*IFERROR(INDEX(Weights!$B$2:$B$4,MATCH(G1295,Weights!$A$2:$A$4,0)),0)*IFERROR(INDEX(Weights!$B$7:$B$11,MATCH(E1295,Weights!$A$7:$A$11,0)),0)*IFERROR(INDEX(Weights!$B$14:$B$17,MATCH(TEXT(J1295,"0"),Weights!$A$14:$A$17,0)),0)/(1+N(N1295)/50),1))</f>
        <v/>
      </c>
      <c r="Q1295" s="5" t="s">
        <v>42</v>
      </c>
    </row>
    <row r="1296" customFormat="false" ht="15" hidden="false" customHeight="false" outlineLevel="0" collapsed="false">
      <c r="A1296" s="5" t="n">
        <v>1295</v>
      </c>
      <c r="B1296" s="5" t="s">
        <v>1475</v>
      </c>
      <c r="C1296" s="5" t="s">
        <v>35</v>
      </c>
      <c r="D1296" s="5" t="s">
        <v>19</v>
      </c>
      <c r="E1296" s="5" t="s">
        <v>794</v>
      </c>
      <c r="F1296" s="5" t="s">
        <v>1476</v>
      </c>
      <c r="G1296" s="5" t="s">
        <v>39</v>
      </c>
      <c r="H1296" s="5" t="s">
        <v>40</v>
      </c>
      <c r="I1296" s="5" t="s">
        <v>796</v>
      </c>
      <c r="J1296" s="5" t="n">
        <v>4</v>
      </c>
      <c r="K1296" s="5"/>
      <c r="L1296" s="6"/>
      <c r="M1296" s="6"/>
      <c r="N1296" s="6"/>
      <c r="O1296" s="6"/>
      <c r="P1296" s="5" t="str">
        <f aca="false">IF(M1296="","",ROUND(M1296*IFERROR(INDEX(Weights!$B$2:$B$4,MATCH(G1296,Weights!$A$2:$A$4,0)),0)*IFERROR(INDEX(Weights!$B$7:$B$11,MATCH(E1296,Weights!$A$7:$A$11,0)),0)*IFERROR(INDEX(Weights!$B$14:$B$17,MATCH(TEXT(J1296,"0"),Weights!$A$14:$A$17,0)),0)/(1+N(N1296)/50),1))</f>
        <v/>
      </c>
      <c r="Q1296" s="5" t="s">
        <v>42</v>
      </c>
    </row>
    <row r="1297" customFormat="false" ht="15" hidden="false" customHeight="false" outlineLevel="0" collapsed="false">
      <c r="A1297" s="5" t="n">
        <v>1296</v>
      </c>
      <c r="B1297" s="5" t="s">
        <v>1477</v>
      </c>
      <c r="C1297" s="5" t="s">
        <v>35</v>
      </c>
      <c r="D1297" s="5" t="s">
        <v>19</v>
      </c>
      <c r="E1297" s="5" t="s">
        <v>794</v>
      </c>
      <c r="F1297" s="5" t="s">
        <v>1476</v>
      </c>
      <c r="G1297" s="5" t="s">
        <v>39</v>
      </c>
      <c r="H1297" s="5" t="s">
        <v>40</v>
      </c>
      <c r="I1297" s="5" t="s">
        <v>796</v>
      </c>
      <c r="J1297" s="5" t="n">
        <v>4</v>
      </c>
      <c r="K1297" s="5"/>
      <c r="L1297" s="6"/>
      <c r="M1297" s="6"/>
      <c r="N1297" s="6"/>
      <c r="O1297" s="6"/>
      <c r="P1297" s="5" t="str">
        <f aca="false">IF(M1297="","",ROUND(M1297*IFERROR(INDEX(Weights!$B$2:$B$4,MATCH(G1297,Weights!$A$2:$A$4,0)),0)*IFERROR(INDEX(Weights!$B$7:$B$11,MATCH(E1297,Weights!$A$7:$A$11,0)),0)*IFERROR(INDEX(Weights!$B$14:$B$17,MATCH(TEXT(J1297,"0"),Weights!$A$14:$A$17,0)),0)/(1+N(N1297)/50),1))</f>
        <v/>
      </c>
      <c r="Q1297" s="5" t="s">
        <v>42</v>
      </c>
    </row>
    <row r="1298" customFormat="false" ht="15" hidden="false" customHeight="false" outlineLevel="0" collapsed="false">
      <c r="A1298" s="5" t="n">
        <v>1297</v>
      </c>
      <c r="B1298" s="5" t="s">
        <v>1478</v>
      </c>
      <c r="C1298" s="5" t="s">
        <v>35</v>
      </c>
      <c r="D1298" s="5" t="s">
        <v>399</v>
      </c>
      <c r="E1298" s="5" t="s">
        <v>794</v>
      </c>
      <c r="F1298" s="5" t="s">
        <v>1476</v>
      </c>
      <c r="G1298" s="5" t="s">
        <v>394</v>
      </c>
      <c r="H1298" s="5" t="s">
        <v>395</v>
      </c>
      <c r="I1298" s="5" t="s">
        <v>796</v>
      </c>
      <c r="J1298" s="5" t="n">
        <v>4</v>
      </c>
      <c r="K1298" s="5"/>
      <c r="L1298" s="6"/>
      <c r="M1298" s="6"/>
      <c r="N1298" s="6"/>
      <c r="O1298" s="6"/>
      <c r="P1298" s="5" t="str">
        <f aca="false">IF(M1298="","",ROUND(M1298*IFERROR(INDEX(Weights!$B$2:$B$4,MATCH(G1298,Weights!$A$2:$A$4,0)),0)*IFERROR(INDEX(Weights!$B$7:$B$11,MATCH(E1298,Weights!$A$7:$A$11,0)),0)*IFERROR(INDEX(Weights!$B$14:$B$17,MATCH(TEXT(J1298,"0"),Weights!$A$14:$A$17,0)),0)/(1+N(N1298)/50),1))</f>
        <v/>
      </c>
      <c r="Q1298" s="5" t="s">
        <v>42</v>
      </c>
    </row>
    <row r="1299" customFormat="false" ht="15" hidden="false" customHeight="false" outlineLevel="0" collapsed="false">
      <c r="A1299" s="5" t="n">
        <v>1298</v>
      </c>
      <c r="B1299" s="5" t="s">
        <v>1479</v>
      </c>
      <c r="C1299" s="5" t="s">
        <v>47</v>
      </c>
      <c r="D1299" s="5" t="s">
        <v>1480</v>
      </c>
      <c r="E1299" s="5" t="s">
        <v>794</v>
      </c>
      <c r="F1299" s="5" t="s">
        <v>1476</v>
      </c>
      <c r="G1299" s="5" t="s">
        <v>39</v>
      </c>
      <c r="H1299" s="5" t="s">
        <v>40</v>
      </c>
      <c r="I1299" s="5" t="s">
        <v>1481</v>
      </c>
      <c r="J1299" s="5" t="n">
        <v>2</v>
      </c>
      <c r="K1299" s="5"/>
      <c r="L1299" s="6"/>
      <c r="M1299" s="6"/>
      <c r="N1299" s="6"/>
      <c r="O1299" s="6"/>
      <c r="P1299" s="5" t="str">
        <f aca="false">IF(M1299="","",ROUND(M1299*IFERROR(INDEX(Weights!$B$2:$B$4,MATCH(G1299,Weights!$A$2:$A$4,0)),0)*IFERROR(INDEX(Weights!$B$7:$B$11,MATCH(E1299,Weights!$A$7:$A$11,0)),0)*IFERROR(INDEX(Weights!$B$14:$B$17,MATCH(TEXT(J1299,"0"),Weights!$A$14:$A$17,0)),0)/(1+N(N1299)/50),1))</f>
        <v/>
      </c>
      <c r="Q1299" s="5" t="s">
        <v>42</v>
      </c>
    </row>
    <row r="1300" customFormat="false" ht="15" hidden="false" customHeight="false" outlineLevel="0" collapsed="false">
      <c r="A1300" s="5" t="n">
        <v>1299</v>
      </c>
      <c r="B1300" s="5" t="s">
        <v>1482</v>
      </c>
      <c r="C1300" s="5" t="s">
        <v>47</v>
      </c>
      <c r="D1300" s="5" t="s">
        <v>1480</v>
      </c>
      <c r="E1300" s="5" t="s">
        <v>794</v>
      </c>
      <c r="F1300" s="5" t="s">
        <v>1476</v>
      </c>
      <c r="G1300" s="5" t="s">
        <v>39</v>
      </c>
      <c r="H1300" s="5" t="s">
        <v>40</v>
      </c>
      <c r="I1300" s="5" t="s">
        <v>1481</v>
      </c>
      <c r="J1300" s="5" t="n">
        <v>2</v>
      </c>
      <c r="K1300" s="5"/>
      <c r="L1300" s="6"/>
      <c r="M1300" s="6"/>
      <c r="N1300" s="6"/>
      <c r="O1300" s="6"/>
      <c r="P1300" s="5" t="str">
        <f aca="false">IF(M1300="","",ROUND(M1300*IFERROR(INDEX(Weights!$B$2:$B$4,MATCH(G1300,Weights!$A$2:$A$4,0)),0)*IFERROR(INDEX(Weights!$B$7:$B$11,MATCH(E1300,Weights!$A$7:$A$11,0)),0)*IFERROR(INDEX(Weights!$B$14:$B$17,MATCH(TEXT(J1300,"0"),Weights!$A$14:$A$17,0)),0)/(1+N(N1300)/50),1))</f>
        <v/>
      </c>
      <c r="Q1300" s="5" t="s">
        <v>42</v>
      </c>
    </row>
    <row r="1301" customFormat="false" ht="15" hidden="false" customHeight="false" outlineLevel="0" collapsed="false">
      <c r="A1301" s="5" t="n">
        <v>1300</v>
      </c>
      <c r="B1301" s="5" t="s">
        <v>1483</v>
      </c>
      <c r="C1301" s="5" t="s">
        <v>47</v>
      </c>
      <c r="D1301" s="5" t="s">
        <v>1480</v>
      </c>
      <c r="E1301" s="5" t="s">
        <v>794</v>
      </c>
      <c r="F1301" s="5" t="s">
        <v>1476</v>
      </c>
      <c r="G1301" s="5" t="s">
        <v>39</v>
      </c>
      <c r="H1301" s="5" t="s">
        <v>40</v>
      </c>
      <c r="I1301" s="5" t="s">
        <v>1481</v>
      </c>
      <c r="J1301" s="5" t="n">
        <v>2</v>
      </c>
      <c r="K1301" s="5"/>
      <c r="L1301" s="6"/>
      <c r="M1301" s="6"/>
      <c r="N1301" s="6"/>
      <c r="O1301" s="6"/>
      <c r="P1301" s="5" t="str">
        <f aca="false">IF(M1301="","",ROUND(M1301*IFERROR(INDEX(Weights!$B$2:$B$4,MATCH(G1301,Weights!$A$2:$A$4,0)),0)*IFERROR(INDEX(Weights!$B$7:$B$11,MATCH(E1301,Weights!$A$7:$A$11,0)),0)*IFERROR(INDEX(Weights!$B$14:$B$17,MATCH(TEXT(J1301,"0"),Weights!$A$14:$A$17,0)),0)/(1+N(N1301)/50),1))</f>
        <v/>
      </c>
      <c r="Q1301" s="5" t="s">
        <v>42</v>
      </c>
    </row>
    <row r="1302" customFormat="false" ht="15" hidden="false" customHeight="false" outlineLevel="0" collapsed="false">
      <c r="A1302" s="5" t="n">
        <v>1301</v>
      </c>
      <c r="B1302" s="5" t="s">
        <v>1484</v>
      </c>
      <c r="C1302" s="5" t="s">
        <v>51</v>
      </c>
      <c r="D1302" s="5" t="s">
        <v>1480</v>
      </c>
      <c r="E1302" s="5" t="s">
        <v>794</v>
      </c>
      <c r="F1302" s="5" t="s">
        <v>1476</v>
      </c>
      <c r="G1302" s="5" t="s">
        <v>39</v>
      </c>
      <c r="H1302" s="5" t="s">
        <v>40</v>
      </c>
      <c r="I1302" s="5" t="s">
        <v>1481</v>
      </c>
      <c r="J1302" s="5" t="n">
        <v>2</v>
      </c>
      <c r="K1302" s="5"/>
      <c r="L1302" s="6"/>
      <c r="M1302" s="6"/>
      <c r="N1302" s="6"/>
      <c r="O1302" s="6"/>
      <c r="P1302" s="5" t="str">
        <f aca="false">IF(M1302="","",ROUND(M1302*IFERROR(INDEX(Weights!$B$2:$B$4,MATCH(G1302,Weights!$A$2:$A$4,0)),0)*IFERROR(INDEX(Weights!$B$7:$B$11,MATCH(E1302,Weights!$A$7:$A$11,0)),0)*IFERROR(INDEX(Weights!$B$14:$B$17,MATCH(TEXT(J1302,"0"),Weights!$A$14:$A$17,0)),0)/(1+N(N1302)/50),1))</f>
        <v/>
      </c>
      <c r="Q1302" s="5" t="s">
        <v>42</v>
      </c>
    </row>
    <row r="1303" customFormat="false" ht="15" hidden="false" customHeight="false" outlineLevel="0" collapsed="false">
      <c r="A1303" s="5" t="n">
        <v>1302</v>
      </c>
      <c r="B1303" s="5" t="s">
        <v>1485</v>
      </c>
      <c r="C1303" s="5" t="s">
        <v>51</v>
      </c>
      <c r="D1303" s="5" t="s">
        <v>1480</v>
      </c>
      <c r="E1303" s="5" t="s">
        <v>794</v>
      </c>
      <c r="F1303" s="5" t="s">
        <v>1476</v>
      </c>
      <c r="G1303" s="5" t="s">
        <v>39</v>
      </c>
      <c r="H1303" s="5" t="s">
        <v>40</v>
      </c>
      <c r="I1303" s="5" t="s">
        <v>1481</v>
      </c>
      <c r="J1303" s="5" t="n">
        <v>2</v>
      </c>
      <c r="K1303" s="5"/>
      <c r="L1303" s="6"/>
      <c r="M1303" s="6"/>
      <c r="N1303" s="6"/>
      <c r="O1303" s="6"/>
      <c r="P1303" s="5" t="str">
        <f aca="false">IF(M1303="","",ROUND(M1303*IFERROR(INDEX(Weights!$B$2:$B$4,MATCH(G1303,Weights!$A$2:$A$4,0)),0)*IFERROR(INDEX(Weights!$B$7:$B$11,MATCH(E1303,Weights!$A$7:$A$11,0)),0)*IFERROR(INDEX(Weights!$B$14:$B$17,MATCH(TEXT(J1303,"0"),Weights!$A$14:$A$17,0)),0)/(1+N(N1303)/50),1))</f>
        <v/>
      </c>
      <c r="Q1303" s="5" t="s">
        <v>42</v>
      </c>
    </row>
    <row r="1304" customFormat="false" ht="15" hidden="false" customHeight="false" outlineLevel="0" collapsed="false">
      <c r="A1304" s="5" t="n">
        <v>1303</v>
      </c>
      <c r="B1304" s="5" t="s">
        <v>1486</v>
      </c>
      <c r="C1304" s="5" t="s">
        <v>54</v>
      </c>
      <c r="D1304" s="5" t="s">
        <v>1480</v>
      </c>
      <c r="E1304" s="5" t="s">
        <v>794</v>
      </c>
      <c r="F1304" s="5" t="s">
        <v>1476</v>
      </c>
      <c r="G1304" s="5" t="s">
        <v>39</v>
      </c>
      <c r="H1304" s="5" t="s">
        <v>40</v>
      </c>
      <c r="I1304" s="5" t="s">
        <v>1481</v>
      </c>
      <c r="J1304" s="5" t="n">
        <v>2</v>
      </c>
      <c r="K1304" s="5"/>
      <c r="L1304" s="6"/>
      <c r="M1304" s="6"/>
      <c r="N1304" s="6"/>
      <c r="O1304" s="6"/>
      <c r="P1304" s="5" t="str">
        <f aca="false">IF(M1304="","",ROUND(M1304*IFERROR(INDEX(Weights!$B$2:$B$4,MATCH(G1304,Weights!$A$2:$A$4,0)),0)*IFERROR(INDEX(Weights!$B$7:$B$11,MATCH(E1304,Weights!$A$7:$A$11,0)),0)*IFERROR(INDEX(Weights!$B$14:$B$17,MATCH(TEXT(J1304,"0"),Weights!$A$14:$A$17,0)),0)/(1+N(N1304)/50),1))</f>
        <v/>
      </c>
      <c r="Q1304" s="5" t="s">
        <v>42</v>
      </c>
    </row>
    <row r="1305" customFormat="false" ht="15" hidden="false" customHeight="false" outlineLevel="0" collapsed="false">
      <c r="A1305" s="5" t="n">
        <v>1304</v>
      </c>
      <c r="B1305" s="5" t="s">
        <v>1487</v>
      </c>
      <c r="C1305" s="5" t="s">
        <v>57</v>
      </c>
      <c r="D1305" s="5" t="s">
        <v>1480</v>
      </c>
      <c r="E1305" s="5" t="s">
        <v>794</v>
      </c>
      <c r="F1305" s="5" t="s">
        <v>1476</v>
      </c>
      <c r="G1305" s="5" t="s">
        <v>39</v>
      </c>
      <c r="H1305" s="5" t="s">
        <v>40</v>
      </c>
      <c r="I1305" s="5" t="s">
        <v>1481</v>
      </c>
      <c r="J1305" s="5" t="n">
        <v>2</v>
      </c>
      <c r="K1305" s="5"/>
      <c r="L1305" s="6"/>
      <c r="M1305" s="6"/>
      <c r="N1305" s="6"/>
      <c r="O1305" s="6"/>
      <c r="P1305" s="5" t="str">
        <f aca="false">IF(M1305="","",ROUND(M1305*IFERROR(INDEX(Weights!$B$2:$B$4,MATCH(G1305,Weights!$A$2:$A$4,0)),0)*IFERROR(INDEX(Weights!$B$7:$B$11,MATCH(E1305,Weights!$A$7:$A$11,0)),0)*IFERROR(INDEX(Weights!$B$14:$B$17,MATCH(TEXT(J1305,"0"),Weights!$A$14:$A$17,0)),0)/(1+N(N1305)/50),1))</f>
        <v/>
      </c>
      <c r="Q1305" s="5" t="s">
        <v>42</v>
      </c>
    </row>
    <row r="1306" customFormat="false" ht="15" hidden="false" customHeight="false" outlineLevel="0" collapsed="false">
      <c r="A1306" s="5" t="n">
        <v>1305</v>
      </c>
      <c r="B1306" s="5" t="s">
        <v>1488</v>
      </c>
      <c r="C1306" s="5" t="s">
        <v>57</v>
      </c>
      <c r="D1306" s="5" t="s">
        <v>1480</v>
      </c>
      <c r="E1306" s="5" t="s">
        <v>794</v>
      </c>
      <c r="F1306" s="5" t="s">
        <v>1476</v>
      </c>
      <c r="G1306" s="5" t="s">
        <v>39</v>
      </c>
      <c r="H1306" s="5" t="s">
        <v>40</v>
      </c>
      <c r="I1306" s="5" t="s">
        <v>1481</v>
      </c>
      <c r="J1306" s="5" t="n">
        <v>2</v>
      </c>
      <c r="K1306" s="5"/>
      <c r="L1306" s="6"/>
      <c r="M1306" s="6"/>
      <c r="N1306" s="6"/>
      <c r="O1306" s="6"/>
      <c r="P1306" s="5" t="str">
        <f aca="false">IF(M1306="","",ROUND(M1306*IFERROR(INDEX(Weights!$B$2:$B$4,MATCH(G1306,Weights!$A$2:$A$4,0)),0)*IFERROR(INDEX(Weights!$B$7:$B$11,MATCH(E1306,Weights!$A$7:$A$11,0)),0)*IFERROR(INDEX(Weights!$B$14:$B$17,MATCH(TEXT(J1306,"0"),Weights!$A$14:$A$17,0)),0)/(1+N(N1306)/50),1))</f>
        <v/>
      </c>
      <c r="Q1306" s="5" t="s">
        <v>42</v>
      </c>
    </row>
    <row r="1307" customFormat="false" ht="15" hidden="false" customHeight="false" outlineLevel="0" collapsed="false">
      <c r="A1307" s="5" t="n">
        <v>1306</v>
      </c>
      <c r="B1307" s="5" t="s">
        <v>1489</v>
      </c>
      <c r="C1307" s="5" t="s">
        <v>64</v>
      </c>
      <c r="D1307" s="5" t="s">
        <v>1480</v>
      </c>
      <c r="E1307" s="5" t="s">
        <v>794</v>
      </c>
      <c r="F1307" s="5" t="s">
        <v>1476</v>
      </c>
      <c r="G1307" s="5" t="s">
        <v>39</v>
      </c>
      <c r="H1307" s="5" t="s">
        <v>40</v>
      </c>
      <c r="I1307" s="5" t="s">
        <v>1481</v>
      </c>
      <c r="J1307" s="5" t="n">
        <v>2</v>
      </c>
      <c r="K1307" s="5"/>
      <c r="L1307" s="6"/>
      <c r="M1307" s="6"/>
      <c r="N1307" s="6"/>
      <c r="O1307" s="6"/>
      <c r="P1307" s="5" t="str">
        <f aca="false">IF(M1307="","",ROUND(M1307*IFERROR(INDEX(Weights!$B$2:$B$4,MATCH(G1307,Weights!$A$2:$A$4,0)),0)*IFERROR(INDEX(Weights!$B$7:$B$11,MATCH(E1307,Weights!$A$7:$A$11,0)),0)*IFERROR(INDEX(Weights!$B$14:$B$17,MATCH(TEXT(J1307,"0"),Weights!$A$14:$A$17,0)),0)/(1+N(N1307)/50),1))</f>
        <v/>
      </c>
      <c r="Q1307" s="5" t="s">
        <v>42</v>
      </c>
    </row>
    <row r="1308" customFormat="false" ht="15" hidden="false" customHeight="false" outlineLevel="0" collapsed="false">
      <c r="A1308" s="5" t="n">
        <v>1307</v>
      </c>
      <c r="B1308" s="5" t="s">
        <v>1490</v>
      </c>
      <c r="C1308" s="5" t="s">
        <v>64</v>
      </c>
      <c r="D1308" s="5" t="s">
        <v>1480</v>
      </c>
      <c r="E1308" s="5" t="s">
        <v>794</v>
      </c>
      <c r="F1308" s="5" t="s">
        <v>1476</v>
      </c>
      <c r="G1308" s="5" t="s">
        <v>39</v>
      </c>
      <c r="H1308" s="5" t="s">
        <v>40</v>
      </c>
      <c r="I1308" s="5" t="s">
        <v>1481</v>
      </c>
      <c r="J1308" s="5" t="n">
        <v>2</v>
      </c>
      <c r="K1308" s="5"/>
      <c r="L1308" s="6"/>
      <c r="M1308" s="6"/>
      <c r="N1308" s="6"/>
      <c r="O1308" s="6"/>
      <c r="P1308" s="5" t="str">
        <f aca="false">IF(M1308="","",ROUND(M1308*IFERROR(INDEX(Weights!$B$2:$B$4,MATCH(G1308,Weights!$A$2:$A$4,0)),0)*IFERROR(INDEX(Weights!$B$7:$B$11,MATCH(E1308,Weights!$A$7:$A$11,0)),0)*IFERROR(INDEX(Weights!$B$14:$B$17,MATCH(TEXT(J1308,"0"),Weights!$A$14:$A$17,0)),0)/(1+N(N1308)/50),1))</f>
        <v/>
      </c>
      <c r="Q1308" s="5" t="s">
        <v>42</v>
      </c>
    </row>
    <row r="1309" customFormat="false" ht="15" hidden="false" customHeight="false" outlineLevel="0" collapsed="false">
      <c r="A1309" s="5" t="n">
        <v>1308</v>
      </c>
      <c r="B1309" s="5" t="s">
        <v>1491</v>
      </c>
      <c r="C1309" s="5" t="s">
        <v>464</v>
      </c>
      <c r="D1309" s="5" t="s">
        <v>1480</v>
      </c>
      <c r="E1309" s="5" t="s">
        <v>794</v>
      </c>
      <c r="F1309" s="5" t="s">
        <v>1476</v>
      </c>
      <c r="G1309" s="5" t="s">
        <v>39</v>
      </c>
      <c r="H1309" s="5" t="s">
        <v>40</v>
      </c>
      <c r="I1309" s="5" t="s">
        <v>1481</v>
      </c>
      <c r="J1309" s="5" t="n">
        <v>2</v>
      </c>
      <c r="K1309" s="5"/>
      <c r="L1309" s="6"/>
      <c r="M1309" s="6"/>
      <c r="N1309" s="6"/>
      <c r="O1309" s="6"/>
      <c r="P1309" s="5" t="str">
        <f aca="false">IF(M1309="","",ROUND(M1309*IFERROR(INDEX(Weights!$B$2:$B$4,MATCH(G1309,Weights!$A$2:$A$4,0)),0)*IFERROR(INDEX(Weights!$B$7:$B$11,MATCH(E1309,Weights!$A$7:$A$11,0)),0)*IFERROR(INDEX(Weights!$B$14:$B$17,MATCH(TEXT(J1309,"0"),Weights!$A$14:$A$17,0)),0)/(1+N(N1309)/50),1))</f>
        <v/>
      </c>
      <c r="Q1309" s="5" t="s">
        <v>42</v>
      </c>
    </row>
    <row r="1310" customFormat="false" ht="15" hidden="false" customHeight="false" outlineLevel="0" collapsed="false">
      <c r="A1310" s="5" t="n">
        <v>1309</v>
      </c>
      <c r="B1310" s="5" t="s">
        <v>1492</v>
      </c>
      <c r="C1310" s="5" t="s">
        <v>35</v>
      </c>
      <c r="D1310" s="5" t="s">
        <v>1480</v>
      </c>
      <c r="E1310" s="5" t="s">
        <v>794</v>
      </c>
      <c r="F1310" s="5" t="s">
        <v>1476</v>
      </c>
      <c r="G1310" s="5" t="s">
        <v>39</v>
      </c>
      <c r="H1310" s="5" t="s">
        <v>40</v>
      </c>
      <c r="I1310" s="5" t="s">
        <v>1481</v>
      </c>
      <c r="J1310" s="5" t="n">
        <v>2</v>
      </c>
      <c r="K1310" s="5"/>
      <c r="L1310" s="6"/>
      <c r="M1310" s="6"/>
      <c r="N1310" s="6"/>
      <c r="O1310" s="6"/>
      <c r="P1310" s="5" t="str">
        <f aca="false">IF(M1310="","",ROUND(M1310*IFERROR(INDEX(Weights!$B$2:$B$4,MATCH(G1310,Weights!$A$2:$A$4,0)),0)*IFERROR(INDEX(Weights!$B$7:$B$11,MATCH(E1310,Weights!$A$7:$A$11,0)),0)*IFERROR(INDEX(Weights!$B$14:$B$17,MATCH(TEXT(J1310,"0"),Weights!$A$14:$A$17,0)),0)/(1+N(N1310)/50),1))</f>
        <v/>
      </c>
      <c r="Q1310" s="5" t="s">
        <v>42</v>
      </c>
    </row>
    <row r="1311" customFormat="false" ht="15" hidden="false" customHeight="false" outlineLevel="0" collapsed="false">
      <c r="A1311" s="5" t="n">
        <v>1310</v>
      </c>
      <c r="B1311" s="5" t="s">
        <v>1493</v>
      </c>
      <c r="C1311" s="5" t="s">
        <v>57</v>
      </c>
      <c r="D1311" s="5" t="s">
        <v>1494</v>
      </c>
      <c r="E1311" s="5" t="s">
        <v>794</v>
      </c>
      <c r="F1311" s="5" t="s">
        <v>1476</v>
      </c>
      <c r="G1311" s="5" t="s">
        <v>39</v>
      </c>
      <c r="H1311" s="5" t="s">
        <v>40</v>
      </c>
      <c r="I1311" s="5" t="s">
        <v>1481</v>
      </c>
      <c r="J1311" s="5" t="n">
        <v>2</v>
      </c>
      <c r="K1311" s="5"/>
      <c r="L1311" s="6"/>
      <c r="M1311" s="6"/>
      <c r="N1311" s="6"/>
      <c r="O1311" s="6"/>
      <c r="P1311" s="5" t="str">
        <f aca="false">IF(M1311="","",ROUND(M1311*IFERROR(INDEX(Weights!$B$2:$B$4,MATCH(G1311,Weights!$A$2:$A$4,0)),0)*IFERROR(INDEX(Weights!$B$7:$B$11,MATCH(E1311,Weights!$A$7:$A$11,0)),0)*IFERROR(INDEX(Weights!$B$14:$B$17,MATCH(TEXT(J1311,"0"),Weights!$A$14:$A$17,0)),0)/(1+N(N1311)/50),1))</f>
        <v/>
      </c>
      <c r="Q1311" s="5" t="s">
        <v>42</v>
      </c>
    </row>
    <row r="1312" customFormat="false" ht="15" hidden="false" customHeight="false" outlineLevel="0" collapsed="false">
      <c r="A1312" s="5" t="n">
        <v>1311</v>
      </c>
      <c r="B1312" s="5" t="s">
        <v>1495</v>
      </c>
      <c r="C1312" s="5" t="s">
        <v>51</v>
      </c>
      <c r="D1312" s="5" t="s">
        <v>1494</v>
      </c>
      <c r="E1312" s="5" t="s">
        <v>794</v>
      </c>
      <c r="F1312" s="5" t="s">
        <v>1476</v>
      </c>
      <c r="G1312" s="5" t="s">
        <v>39</v>
      </c>
      <c r="H1312" s="5" t="s">
        <v>40</v>
      </c>
      <c r="I1312" s="5" t="s">
        <v>1481</v>
      </c>
      <c r="J1312" s="5" t="n">
        <v>2</v>
      </c>
      <c r="K1312" s="5"/>
      <c r="L1312" s="6"/>
      <c r="M1312" s="6"/>
      <c r="N1312" s="6"/>
      <c r="O1312" s="6"/>
      <c r="P1312" s="5" t="str">
        <f aca="false">IF(M1312="","",ROUND(M1312*IFERROR(INDEX(Weights!$B$2:$B$4,MATCH(G1312,Weights!$A$2:$A$4,0)),0)*IFERROR(INDEX(Weights!$B$7:$B$11,MATCH(E1312,Weights!$A$7:$A$11,0)),0)*IFERROR(INDEX(Weights!$B$14:$B$17,MATCH(TEXT(J1312,"0"),Weights!$A$14:$A$17,0)),0)/(1+N(N1312)/50),1))</f>
        <v/>
      </c>
      <c r="Q1312" s="5" t="s">
        <v>42</v>
      </c>
    </row>
    <row r="1313" customFormat="false" ht="15" hidden="false" customHeight="false" outlineLevel="0" collapsed="false">
      <c r="A1313" s="5" t="n">
        <v>1312</v>
      </c>
      <c r="B1313" s="5" t="s">
        <v>1496</v>
      </c>
      <c r="C1313" s="5" t="s">
        <v>47</v>
      </c>
      <c r="D1313" s="5" t="s">
        <v>1494</v>
      </c>
      <c r="E1313" s="5" t="s">
        <v>794</v>
      </c>
      <c r="F1313" s="5" t="s">
        <v>1476</v>
      </c>
      <c r="G1313" s="5" t="s">
        <v>39</v>
      </c>
      <c r="H1313" s="5" t="s">
        <v>40</v>
      </c>
      <c r="I1313" s="5" t="s">
        <v>1481</v>
      </c>
      <c r="J1313" s="5" t="n">
        <v>2</v>
      </c>
      <c r="K1313" s="5"/>
      <c r="L1313" s="6"/>
      <c r="M1313" s="6"/>
      <c r="N1313" s="6"/>
      <c r="O1313" s="6"/>
      <c r="P1313" s="5" t="str">
        <f aca="false">IF(M1313="","",ROUND(M1313*IFERROR(INDEX(Weights!$B$2:$B$4,MATCH(G1313,Weights!$A$2:$A$4,0)),0)*IFERROR(INDEX(Weights!$B$7:$B$11,MATCH(E1313,Weights!$A$7:$A$11,0)),0)*IFERROR(INDEX(Weights!$B$14:$B$17,MATCH(TEXT(J1313,"0"),Weights!$A$14:$A$17,0)),0)/(1+N(N1313)/50),1))</f>
        <v/>
      </c>
      <c r="Q1313" s="5" t="s">
        <v>42</v>
      </c>
    </row>
    <row r="1314" customFormat="false" ht="15" hidden="false" customHeight="false" outlineLevel="0" collapsed="false">
      <c r="A1314" s="5" t="n">
        <v>1313</v>
      </c>
      <c r="B1314" s="5" t="s">
        <v>1497</v>
      </c>
      <c r="C1314" s="5" t="s">
        <v>35</v>
      </c>
      <c r="D1314" s="5" t="s">
        <v>1494</v>
      </c>
      <c r="E1314" s="5" t="s">
        <v>794</v>
      </c>
      <c r="F1314" s="5" t="s">
        <v>1476</v>
      </c>
      <c r="G1314" s="5" t="s">
        <v>39</v>
      </c>
      <c r="H1314" s="5" t="s">
        <v>40</v>
      </c>
      <c r="I1314" s="5" t="s">
        <v>1481</v>
      </c>
      <c r="J1314" s="5" t="n">
        <v>2</v>
      </c>
      <c r="K1314" s="5"/>
      <c r="L1314" s="6"/>
      <c r="M1314" s="6"/>
      <c r="N1314" s="6"/>
      <c r="O1314" s="6"/>
      <c r="P1314" s="5" t="str">
        <f aca="false">IF(M1314="","",ROUND(M1314*IFERROR(INDEX(Weights!$B$2:$B$4,MATCH(G1314,Weights!$A$2:$A$4,0)),0)*IFERROR(INDEX(Weights!$B$7:$B$11,MATCH(E1314,Weights!$A$7:$A$11,0)),0)*IFERROR(INDEX(Weights!$B$14:$B$17,MATCH(TEXT(J1314,"0"),Weights!$A$14:$A$17,0)),0)/(1+N(N1314)/50),1))</f>
        <v/>
      </c>
      <c r="Q1314" s="5" t="s">
        <v>42</v>
      </c>
    </row>
    <row r="1315" customFormat="false" ht="15" hidden="false" customHeight="false" outlineLevel="0" collapsed="false">
      <c r="A1315" s="5" t="n">
        <v>1314</v>
      </c>
      <c r="B1315" s="5" t="s">
        <v>1498</v>
      </c>
      <c r="C1315" s="5" t="s">
        <v>47</v>
      </c>
      <c r="D1315" s="5" t="s">
        <v>1494</v>
      </c>
      <c r="E1315" s="5" t="s">
        <v>794</v>
      </c>
      <c r="F1315" s="5" t="s">
        <v>1476</v>
      </c>
      <c r="G1315" s="5" t="s">
        <v>39</v>
      </c>
      <c r="H1315" s="5" t="s">
        <v>40</v>
      </c>
      <c r="I1315" s="5" t="s">
        <v>1481</v>
      </c>
      <c r="J1315" s="5" t="n">
        <v>2</v>
      </c>
      <c r="K1315" s="5"/>
      <c r="L1315" s="6"/>
      <c r="M1315" s="6"/>
      <c r="N1315" s="6"/>
      <c r="O1315" s="6"/>
      <c r="P1315" s="5" t="str">
        <f aca="false">IF(M1315="","",ROUND(M1315*IFERROR(INDEX(Weights!$B$2:$B$4,MATCH(G1315,Weights!$A$2:$A$4,0)),0)*IFERROR(INDEX(Weights!$B$7:$B$11,MATCH(E1315,Weights!$A$7:$A$11,0)),0)*IFERROR(INDEX(Weights!$B$14:$B$17,MATCH(TEXT(J1315,"0"),Weights!$A$14:$A$17,0)),0)/(1+N(N1315)/50),1))</f>
        <v/>
      </c>
      <c r="Q1315" s="5" t="s">
        <v>42</v>
      </c>
    </row>
    <row r="1316" customFormat="false" ht="15" hidden="false" customHeight="false" outlineLevel="0" collapsed="false">
      <c r="A1316" s="5" t="n">
        <v>1315</v>
      </c>
      <c r="B1316" s="5" t="s">
        <v>1475</v>
      </c>
      <c r="C1316" s="5" t="s">
        <v>35</v>
      </c>
      <c r="D1316" s="5" t="s">
        <v>19</v>
      </c>
      <c r="E1316" s="5" t="s">
        <v>1108</v>
      </c>
      <c r="F1316" s="5" t="s">
        <v>1499</v>
      </c>
      <c r="G1316" s="5" t="s">
        <v>39</v>
      </c>
      <c r="H1316" s="5" t="s">
        <v>40</v>
      </c>
      <c r="I1316" s="5" t="s">
        <v>796</v>
      </c>
      <c r="J1316" s="5" t="n">
        <v>4</v>
      </c>
      <c r="K1316" s="5"/>
      <c r="L1316" s="6"/>
      <c r="M1316" s="6"/>
      <c r="N1316" s="6"/>
      <c r="O1316" s="6"/>
      <c r="P1316" s="5" t="str">
        <f aca="false">IF(M1316="","",ROUND(M1316*IFERROR(INDEX(Weights!$B$2:$B$4,MATCH(G1316,Weights!$A$2:$A$4,0)),0)*IFERROR(INDEX(Weights!$B$7:$B$11,MATCH(E1316,Weights!$A$7:$A$11,0)),0)*IFERROR(INDEX(Weights!$B$14:$B$17,MATCH(TEXT(J1316,"0"),Weights!$A$14:$A$17,0)),0)/(1+N(N1316)/50),1))</f>
        <v/>
      </c>
      <c r="Q1316" s="5" t="s">
        <v>42</v>
      </c>
    </row>
    <row r="1317" customFormat="false" ht="15" hidden="false" customHeight="false" outlineLevel="0" collapsed="false">
      <c r="A1317" s="5" t="n">
        <v>1316</v>
      </c>
      <c r="B1317" s="5" t="s">
        <v>1477</v>
      </c>
      <c r="C1317" s="5" t="s">
        <v>35</v>
      </c>
      <c r="D1317" s="5" t="s">
        <v>19</v>
      </c>
      <c r="E1317" s="5" t="s">
        <v>1108</v>
      </c>
      <c r="F1317" s="5" t="s">
        <v>1499</v>
      </c>
      <c r="G1317" s="5" t="s">
        <v>39</v>
      </c>
      <c r="H1317" s="5" t="s">
        <v>40</v>
      </c>
      <c r="I1317" s="5" t="s">
        <v>796</v>
      </c>
      <c r="J1317" s="5" t="n">
        <v>4</v>
      </c>
      <c r="K1317" s="5"/>
      <c r="L1317" s="6"/>
      <c r="M1317" s="6"/>
      <c r="N1317" s="6"/>
      <c r="O1317" s="6"/>
      <c r="P1317" s="5" t="str">
        <f aca="false">IF(M1317="","",ROUND(M1317*IFERROR(INDEX(Weights!$B$2:$B$4,MATCH(G1317,Weights!$A$2:$A$4,0)),0)*IFERROR(INDEX(Weights!$B$7:$B$11,MATCH(E1317,Weights!$A$7:$A$11,0)),0)*IFERROR(INDEX(Weights!$B$14:$B$17,MATCH(TEXT(J1317,"0"),Weights!$A$14:$A$17,0)),0)/(1+N(N1317)/50),1))</f>
        <v/>
      </c>
      <c r="Q1317" s="5" t="s">
        <v>42</v>
      </c>
    </row>
    <row r="1318" customFormat="false" ht="15" hidden="false" customHeight="false" outlineLevel="0" collapsed="false">
      <c r="A1318" s="5" t="n">
        <v>1317</v>
      </c>
      <c r="B1318" s="5" t="s">
        <v>1478</v>
      </c>
      <c r="C1318" s="5" t="s">
        <v>35</v>
      </c>
      <c r="D1318" s="5" t="s">
        <v>399</v>
      </c>
      <c r="E1318" s="5" t="s">
        <v>1108</v>
      </c>
      <c r="F1318" s="5" t="s">
        <v>1499</v>
      </c>
      <c r="G1318" s="5" t="s">
        <v>394</v>
      </c>
      <c r="H1318" s="5" t="s">
        <v>395</v>
      </c>
      <c r="I1318" s="5" t="s">
        <v>796</v>
      </c>
      <c r="J1318" s="5" t="n">
        <v>4</v>
      </c>
      <c r="K1318" s="5"/>
      <c r="L1318" s="6"/>
      <c r="M1318" s="6"/>
      <c r="N1318" s="6"/>
      <c r="O1318" s="6"/>
      <c r="P1318" s="5" t="str">
        <f aca="false">IF(M1318="","",ROUND(M1318*IFERROR(INDEX(Weights!$B$2:$B$4,MATCH(G1318,Weights!$A$2:$A$4,0)),0)*IFERROR(INDEX(Weights!$B$7:$B$11,MATCH(E1318,Weights!$A$7:$A$11,0)),0)*IFERROR(INDEX(Weights!$B$14:$B$17,MATCH(TEXT(J1318,"0"),Weights!$A$14:$A$17,0)),0)/(1+N(N1318)/50),1))</f>
        <v/>
      </c>
      <c r="Q1318" s="5" t="s">
        <v>42</v>
      </c>
    </row>
    <row r="1319" customFormat="false" ht="15" hidden="false" customHeight="false" outlineLevel="0" collapsed="false">
      <c r="A1319" s="5" t="n">
        <v>1318</v>
      </c>
      <c r="B1319" s="5" t="s">
        <v>1479</v>
      </c>
      <c r="C1319" s="5" t="s">
        <v>47</v>
      </c>
      <c r="D1319" s="5" t="s">
        <v>1480</v>
      </c>
      <c r="E1319" s="5" t="s">
        <v>1108</v>
      </c>
      <c r="F1319" s="5" t="s">
        <v>1499</v>
      </c>
      <c r="G1319" s="5" t="s">
        <v>39</v>
      </c>
      <c r="H1319" s="5" t="s">
        <v>40</v>
      </c>
      <c r="I1319" s="5" t="s">
        <v>1481</v>
      </c>
      <c r="J1319" s="5" t="n">
        <v>2</v>
      </c>
      <c r="K1319" s="5"/>
      <c r="L1319" s="6"/>
      <c r="M1319" s="6"/>
      <c r="N1319" s="6"/>
      <c r="O1319" s="6"/>
      <c r="P1319" s="5" t="str">
        <f aca="false">IF(M1319="","",ROUND(M1319*IFERROR(INDEX(Weights!$B$2:$B$4,MATCH(G1319,Weights!$A$2:$A$4,0)),0)*IFERROR(INDEX(Weights!$B$7:$B$11,MATCH(E1319,Weights!$A$7:$A$11,0)),0)*IFERROR(INDEX(Weights!$B$14:$B$17,MATCH(TEXT(J1319,"0"),Weights!$A$14:$A$17,0)),0)/(1+N(N1319)/50),1))</f>
        <v/>
      </c>
      <c r="Q1319" s="5" t="s">
        <v>42</v>
      </c>
    </row>
    <row r="1320" customFormat="false" ht="15" hidden="false" customHeight="false" outlineLevel="0" collapsed="false">
      <c r="A1320" s="5" t="n">
        <v>1319</v>
      </c>
      <c r="B1320" s="5" t="s">
        <v>1482</v>
      </c>
      <c r="C1320" s="5" t="s">
        <v>47</v>
      </c>
      <c r="D1320" s="5" t="s">
        <v>1480</v>
      </c>
      <c r="E1320" s="5" t="s">
        <v>1108</v>
      </c>
      <c r="F1320" s="5" t="s">
        <v>1499</v>
      </c>
      <c r="G1320" s="5" t="s">
        <v>39</v>
      </c>
      <c r="H1320" s="5" t="s">
        <v>40</v>
      </c>
      <c r="I1320" s="5" t="s">
        <v>1481</v>
      </c>
      <c r="J1320" s="5" t="n">
        <v>2</v>
      </c>
      <c r="K1320" s="5"/>
      <c r="L1320" s="6"/>
      <c r="M1320" s="6"/>
      <c r="N1320" s="6"/>
      <c r="O1320" s="6"/>
      <c r="P1320" s="5" t="str">
        <f aca="false">IF(M1320="","",ROUND(M1320*IFERROR(INDEX(Weights!$B$2:$B$4,MATCH(G1320,Weights!$A$2:$A$4,0)),0)*IFERROR(INDEX(Weights!$B$7:$B$11,MATCH(E1320,Weights!$A$7:$A$11,0)),0)*IFERROR(INDEX(Weights!$B$14:$B$17,MATCH(TEXT(J1320,"0"),Weights!$A$14:$A$17,0)),0)/(1+N(N1320)/50),1))</f>
        <v/>
      </c>
      <c r="Q1320" s="5" t="s">
        <v>42</v>
      </c>
    </row>
    <row r="1321" customFormat="false" ht="15" hidden="false" customHeight="false" outlineLevel="0" collapsed="false">
      <c r="A1321" s="5" t="n">
        <v>1320</v>
      </c>
      <c r="B1321" s="5" t="s">
        <v>1483</v>
      </c>
      <c r="C1321" s="5" t="s">
        <v>47</v>
      </c>
      <c r="D1321" s="5" t="s">
        <v>1480</v>
      </c>
      <c r="E1321" s="5" t="s">
        <v>1108</v>
      </c>
      <c r="F1321" s="5" t="s">
        <v>1499</v>
      </c>
      <c r="G1321" s="5" t="s">
        <v>39</v>
      </c>
      <c r="H1321" s="5" t="s">
        <v>40</v>
      </c>
      <c r="I1321" s="5" t="s">
        <v>1481</v>
      </c>
      <c r="J1321" s="5" t="n">
        <v>2</v>
      </c>
      <c r="K1321" s="5"/>
      <c r="L1321" s="6"/>
      <c r="M1321" s="6"/>
      <c r="N1321" s="6"/>
      <c r="O1321" s="6"/>
      <c r="P1321" s="5" t="str">
        <f aca="false">IF(M1321="","",ROUND(M1321*IFERROR(INDEX(Weights!$B$2:$B$4,MATCH(G1321,Weights!$A$2:$A$4,0)),0)*IFERROR(INDEX(Weights!$B$7:$B$11,MATCH(E1321,Weights!$A$7:$A$11,0)),0)*IFERROR(INDEX(Weights!$B$14:$B$17,MATCH(TEXT(J1321,"0"),Weights!$A$14:$A$17,0)),0)/(1+N(N1321)/50),1))</f>
        <v/>
      </c>
      <c r="Q1321" s="5" t="s">
        <v>42</v>
      </c>
    </row>
    <row r="1322" customFormat="false" ht="15" hidden="false" customHeight="false" outlineLevel="0" collapsed="false">
      <c r="A1322" s="5" t="n">
        <v>1321</v>
      </c>
      <c r="B1322" s="5" t="s">
        <v>1484</v>
      </c>
      <c r="C1322" s="5" t="s">
        <v>51</v>
      </c>
      <c r="D1322" s="5" t="s">
        <v>1480</v>
      </c>
      <c r="E1322" s="5" t="s">
        <v>1108</v>
      </c>
      <c r="F1322" s="5" t="s">
        <v>1499</v>
      </c>
      <c r="G1322" s="5" t="s">
        <v>39</v>
      </c>
      <c r="H1322" s="5" t="s">
        <v>40</v>
      </c>
      <c r="I1322" s="5" t="s">
        <v>1481</v>
      </c>
      <c r="J1322" s="5" t="n">
        <v>2</v>
      </c>
      <c r="K1322" s="5"/>
      <c r="L1322" s="6"/>
      <c r="M1322" s="6"/>
      <c r="N1322" s="6"/>
      <c r="O1322" s="6"/>
      <c r="P1322" s="5" t="str">
        <f aca="false">IF(M1322="","",ROUND(M1322*IFERROR(INDEX(Weights!$B$2:$B$4,MATCH(G1322,Weights!$A$2:$A$4,0)),0)*IFERROR(INDEX(Weights!$B$7:$B$11,MATCH(E1322,Weights!$A$7:$A$11,0)),0)*IFERROR(INDEX(Weights!$B$14:$B$17,MATCH(TEXT(J1322,"0"),Weights!$A$14:$A$17,0)),0)/(1+N(N1322)/50),1))</f>
        <v/>
      </c>
      <c r="Q1322" s="5" t="s">
        <v>42</v>
      </c>
    </row>
    <row r="1323" customFormat="false" ht="15" hidden="false" customHeight="false" outlineLevel="0" collapsed="false">
      <c r="A1323" s="5" t="n">
        <v>1322</v>
      </c>
      <c r="B1323" s="5" t="s">
        <v>1485</v>
      </c>
      <c r="C1323" s="5" t="s">
        <v>51</v>
      </c>
      <c r="D1323" s="5" t="s">
        <v>1480</v>
      </c>
      <c r="E1323" s="5" t="s">
        <v>1108</v>
      </c>
      <c r="F1323" s="5" t="s">
        <v>1499</v>
      </c>
      <c r="G1323" s="5" t="s">
        <v>39</v>
      </c>
      <c r="H1323" s="5" t="s">
        <v>40</v>
      </c>
      <c r="I1323" s="5" t="s">
        <v>1481</v>
      </c>
      <c r="J1323" s="5" t="n">
        <v>2</v>
      </c>
      <c r="K1323" s="5"/>
      <c r="L1323" s="6"/>
      <c r="M1323" s="6"/>
      <c r="N1323" s="6"/>
      <c r="O1323" s="6"/>
      <c r="P1323" s="5" t="str">
        <f aca="false">IF(M1323="","",ROUND(M1323*IFERROR(INDEX(Weights!$B$2:$B$4,MATCH(G1323,Weights!$A$2:$A$4,0)),0)*IFERROR(INDEX(Weights!$B$7:$B$11,MATCH(E1323,Weights!$A$7:$A$11,0)),0)*IFERROR(INDEX(Weights!$B$14:$B$17,MATCH(TEXT(J1323,"0"),Weights!$A$14:$A$17,0)),0)/(1+N(N1323)/50),1))</f>
        <v/>
      </c>
      <c r="Q1323" s="5" t="s">
        <v>42</v>
      </c>
    </row>
    <row r="1324" customFormat="false" ht="15" hidden="false" customHeight="false" outlineLevel="0" collapsed="false">
      <c r="A1324" s="5" t="n">
        <v>1323</v>
      </c>
      <c r="B1324" s="5" t="s">
        <v>1486</v>
      </c>
      <c r="C1324" s="5" t="s">
        <v>54</v>
      </c>
      <c r="D1324" s="5" t="s">
        <v>1480</v>
      </c>
      <c r="E1324" s="5" t="s">
        <v>1108</v>
      </c>
      <c r="F1324" s="5" t="s">
        <v>1499</v>
      </c>
      <c r="G1324" s="5" t="s">
        <v>39</v>
      </c>
      <c r="H1324" s="5" t="s">
        <v>40</v>
      </c>
      <c r="I1324" s="5" t="s">
        <v>1481</v>
      </c>
      <c r="J1324" s="5" t="n">
        <v>2</v>
      </c>
      <c r="K1324" s="5"/>
      <c r="L1324" s="6"/>
      <c r="M1324" s="6"/>
      <c r="N1324" s="6"/>
      <c r="O1324" s="6"/>
      <c r="P1324" s="5" t="str">
        <f aca="false">IF(M1324="","",ROUND(M1324*IFERROR(INDEX(Weights!$B$2:$B$4,MATCH(G1324,Weights!$A$2:$A$4,0)),0)*IFERROR(INDEX(Weights!$B$7:$B$11,MATCH(E1324,Weights!$A$7:$A$11,0)),0)*IFERROR(INDEX(Weights!$B$14:$B$17,MATCH(TEXT(J1324,"0"),Weights!$A$14:$A$17,0)),0)/(1+N(N1324)/50),1))</f>
        <v/>
      </c>
      <c r="Q1324" s="5" t="s">
        <v>42</v>
      </c>
    </row>
    <row r="1325" customFormat="false" ht="15" hidden="false" customHeight="false" outlineLevel="0" collapsed="false">
      <c r="A1325" s="5" t="n">
        <v>1324</v>
      </c>
      <c r="B1325" s="5" t="s">
        <v>1487</v>
      </c>
      <c r="C1325" s="5" t="s">
        <v>57</v>
      </c>
      <c r="D1325" s="5" t="s">
        <v>1480</v>
      </c>
      <c r="E1325" s="5" t="s">
        <v>1108</v>
      </c>
      <c r="F1325" s="5" t="s">
        <v>1499</v>
      </c>
      <c r="G1325" s="5" t="s">
        <v>39</v>
      </c>
      <c r="H1325" s="5" t="s">
        <v>40</v>
      </c>
      <c r="I1325" s="5" t="s">
        <v>1481</v>
      </c>
      <c r="J1325" s="5" t="n">
        <v>2</v>
      </c>
      <c r="K1325" s="5"/>
      <c r="L1325" s="6"/>
      <c r="M1325" s="6"/>
      <c r="N1325" s="6"/>
      <c r="O1325" s="6"/>
      <c r="P1325" s="5" t="str">
        <f aca="false">IF(M1325="","",ROUND(M1325*IFERROR(INDEX(Weights!$B$2:$B$4,MATCH(G1325,Weights!$A$2:$A$4,0)),0)*IFERROR(INDEX(Weights!$B$7:$B$11,MATCH(E1325,Weights!$A$7:$A$11,0)),0)*IFERROR(INDEX(Weights!$B$14:$B$17,MATCH(TEXT(J1325,"0"),Weights!$A$14:$A$17,0)),0)/(1+N(N1325)/50),1))</f>
        <v/>
      </c>
      <c r="Q1325" s="5" t="s">
        <v>42</v>
      </c>
    </row>
    <row r="1326" customFormat="false" ht="15" hidden="false" customHeight="false" outlineLevel="0" collapsed="false">
      <c r="A1326" s="5" t="n">
        <v>1325</v>
      </c>
      <c r="B1326" s="5" t="s">
        <v>1488</v>
      </c>
      <c r="C1326" s="5" t="s">
        <v>57</v>
      </c>
      <c r="D1326" s="5" t="s">
        <v>1480</v>
      </c>
      <c r="E1326" s="5" t="s">
        <v>1108</v>
      </c>
      <c r="F1326" s="5" t="s">
        <v>1499</v>
      </c>
      <c r="G1326" s="5" t="s">
        <v>39</v>
      </c>
      <c r="H1326" s="5" t="s">
        <v>40</v>
      </c>
      <c r="I1326" s="5" t="s">
        <v>1481</v>
      </c>
      <c r="J1326" s="5" t="n">
        <v>2</v>
      </c>
      <c r="K1326" s="5"/>
      <c r="L1326" s="6"/>
      <c r="M1326" s="6"/>
      <c r="N1326" s="6"/>
      <c r="O1326" s="6"/>
      <c r="P1326" s="5" t="str">
        <f aca="false">IF(M1326="","",ROUND(M1326*IFERROR(INDEX(Weights!$B$2:$B$4,MATCH(G1326,Weights!$A$2:$A$4,0)),0)*IFERROR(INDEX(Weights!$B$7:$B$11,MATCH(E1326,Weights!$A$7:$A$11,0)),0)*IFERROR(INDEX(Weights!$B$14:$B$17,MATCH(TEXT(J1326,"0"),Weights!$A$14:$A$17,0)),0)/(1+N(N1326)/50),1))</f>
        <v/>
      </c>
      <c r="Q1326" s="5" t="s">
        <v>42</v>
      </c>
    </row>
    <row r="1327" customFormat="false" ht="15" hidden="false" customHeight="false" outlineLevel="0" collapsed="false">
      <c r="A1327" s="5" t="n">
        <v>1326</v>
      </c>
      <c r="B1327" s="5" t="s">
        <v>1489</v>
      </c>
      <c r="C1327" s="5" t="s">
        <v>64</v>
      </c>
      <c r="D1327" s="5" t="s">
        <v>1480</v>
      </c>
      <c r="E1327" s="5" t="s">
        <v>1108</v>
      </c>
      <c r="F1327" s="5" t="s">
        <v>1499</v>
      </c>
      <c r="G1327" s="5" t="s">
        <v>39</v>
      </c>
      <c r="H1327" s="5" t="s">
        <v>40</v>
      </c>
      <c r="I1327" s="5" t="s">
        <v>1481</v>
      </c>
      <c r="J1327" s="5" t="n">
        <v>2</v>
      </c>
      <c r="K1327" s="5"/>
      <c r="L1327" s="6"/>
      <c r="M1327" s="6"/>
      <c r="N1327" s="6"/>
      <c r="O1327" s="6"/>
      <c r="P1327" s="5" t="str">
        <f aca="false">IF(M1327="","",ROUND(M1327*IFERROR(INDEX(Weights!$B$2:$B$4,MATCH(G1327,Weights!$A$2:$A$4,0)),0)*IFERROR(INDEX(Weights!$B$7:$B$11,MATCH(E1327,Weights!$A$7:$A$11,0)),0)*IFERROR(INDEX(Weights!$B$14:$B$17,MATCH(TEXT(J1327,"0"),Weights!$A$14:$A$17,0)),0)/(1+N(N1327)/50),1))</f>
        <v/>
      </c>
      <c r="Q1327" s="5" t="s">
        <v>42</v>
      </c>
    </row>
    <row r="1328" customFormat="false" ht="15" hidden="false" customHeight="false" outlineLevel="0" collapsed="false">
      <c r="A1328" s="5" t="n">
        <v>1327</v>
      </c>
      <c r="B1328" s="5" t="s">
        <v>1490</v>
      </c>
      <c r="C1328" s="5" t="s">
        <v>64</v>
      </c>
      <c r="D1328" s="5" t="s">
        <v>1480</v>
      </c>
      <c r="E1328" s="5" t="s">
        <v>1108</v>
      </c>
      <c r="F1328" s="5" t="s">
        <v>1499</v>
      </c>
      <c r="G1328" s="5" t="s">
        <v>39</v>
      </c>
      <c r="H1328" s="5" t="s">
        <v>40</v>
      </c>
      <c r="I1328" s="5" t="s">
        <v>1481</v>
      </c>
      <c r="J1328" s="5" t="n">
        <v>2</v>
      </c>
      <c r="K1328" s="5"/>
      <c r="L1328" s="6"/>
      <c r="M1328" s="6"/>
      <c r="N1328" s="6"/>
      <c r="O1328" s="6"/>
      <c r="P1328" s="5" t="str">
        <f aca="false">IF(M1328="","",ROUND(M1328*IFERROR(INDEX(Weights!$B$2:$B$4,MATCH(G1328,Weights!$A$2:$A$4,0)),0)*IFERROR(INDEX(Weights!$B$7:$B$11,MATCH(E1328,Weights!$A$7:$A$11,0)),0)*IFERROR(INDEX(Weights!$B$14:$B$17,MATCH(TEXT(J1328,"0"),Weights!$A$14:$A$17,0)),0)/(1+N(N1328)/50),1))</f>
        <v/>
      </c>
      <c r="Q1328" s="5" t="s">
        <v>42</v>
      </c>
    </row>
    <row r="1329" customFormat="false" ht="15" hidden="false" customHeight="false" outlineLevel="0" collapsed="false">
      <c r="A1329" s="5" t="n">
        <v>1328</v>
      </c>
      <c r="B1329" s="5" t="s">
        <v>1491</v>
      </c>
      <c r="C1329" s="5" t="s">
        <v>464</v>
      </c>
      <c r="D1329" s="5" t="s">
        <v>1480</v>
      </c>
      <c r="E1329" s="5" t="s">
        <v>1108</v>
      </c>
      <c r="F1329" s="5" t="s">
        <v>1499</v>
      </c>
      <c r="G1329" s="5" t="s">
        <v>39</v>
      </c>
      <c r="H1329" s="5" t="s">
        <v>40</v>
      </c>
      <c r="I1329" s="5" t="s">
        <v>1481</v>
      </c>
      <c r="J1329" s="5" t="n">
        <v>2</v>
      </c>
      <c r="K1329" s="5"/>
      <c r="L1329" s="6"/>
      <c r="M1329" s="6"/>
      <c r="N1329" s="6"/>
      <c r="O1329" s="6"/>
      <c r="P1329" s="5" t="str">
        <f aca="false">IF(M1329="","",ROUND(M1329*IFERROR(INDEX(Weights!$B$2:$B$4,MATCH(G1329,Weights!$A$2:$A$4,0)),0)*IFERROR(INDEX(Weights!$B$7:$B$11,MATCH(E1329,Weights!$A$7:$A$11,0)),0)*IFERROR(INDEX(Weights!$B$14:$B$17,MATCH(TEXT(J1329,"0"),Weights!$A$14:$A$17,0)),0)/(1+N(N1329)/50),1))</f>
        <v/>
      </c>
      <c r="Q1329" s="5" t="s">
        <v>42</v>
      </c>
    </row>
    <row r="1330" customFormat="false" ht="15" hidden="false" customHeight="false" outlineLevel="0" collapsed="false">
      <c r="A1330" s="5" t="n">
        <v>1329</v>
      </c>
      <c r="B1330" s="5" t="s">
        <v>1492</v>
      </c>
      <c r="C1330" s="5" t="s">
        <v>35</v>
      </c>
      <c r="D1330" s="5" t="s">
        <v>1480</v>
      </c>
      <c r="E1330" s="5" t="s">
        <v>1108</v>
      </c>
      <c r="F1330" s="5" t="s">
        <v>1499</v>
      </c>
      <c r="G1330" s="5" t="s">
        <v>39</v>
      </c>
      <c r="H1330" s="5" t="s">
        <v>40</v>
      </c>
      <c r="I1330" s="5" t="s">
        <v>1481</v>
      </c>
      <c r="J1330" s="5" t="n">
        <v>2</v>
      </c>
      <c r="K1330" s="5"/>
      <c r="L1330" s="6"/>
      <c r="M1330" s="6"/>
      <c r="N1330" s="6"/>
      <c r="O1330" s="6"/>
      <c r="P1330" s="5" t="str">
        <f aca="false">IF(M1330="","",ROUND(M1330*IFERROR(INDEX(Weights!$B$2:$B$4,MATCH(G1330,Weights!$A$2:$A$4,0)),0)*IFERROR(INDEX(Weights!$B$7:$B$11,MATCH(E1330,Weights!$A$7:$A$11,0)),0)*IFERROR(INDEX(Weights!$B$14:$B$17,MATCH(TEXT(J1330,"0"),Weights!$A$14:$A$17,0)),0)/(1+N(N1330)/50),1))</f>
        <v/>
      </c>
      <c r="Q1330" s="5" t="s">
        <v>42</v>
      </c>
    </row>
    <row r="1331" customFormat="false" ht="15" hidden="false" customHeight="false" outlineLevel="0" collapsed="false">
      <c r="A1331" s="5" t="n">
        <v>1330</v>
      </c>
      <c r="B1331" s="5" t="s">
        <v>1493</v>
      </c>
      <c r="C1331" s="5" t="s">
        <v>57</v>
      </c>
      <c r="D1331" s="5" t="s">
        <v>1494</v>
      </c>
      <c r="E1331" s="5" t="s">
        <v>1108</v>
      </c>
      <c r="F1331" s="5" t="s">
        <v>1499</v>
      </c>
      <c r="G1331" s="5" t="s">
        <v>39</v>
      </c>
      <c r="H1331" s="5" t="s">
        <v>40</v>
      </c>
      <c r="I1331" s="5" t="s">
        <v>1481</v>
      </c>
      <c r="J1331" s="5" t="n">
        <v>2</v>
      </c>
      <c r="K1331" s="5"/>
      <c r="L1331" s="6"/>
      <c r="M1331" s="6"/>
      <c r="N1331" s="6"/>
      <c r="O1331" s="6"/>
      <c r="P1331" s="5" t="str">
        <f aca="false">IF(M1331="","",ROUND(M1331*IFERROR(INDEX(Weights!$B$2:$B$4,MATCH(G1331,Weights!$A$2:$A$4,0)),0)*IFERROR(INDEX(Weights!$B$7:$B$11,MATCH(E1331,Weights!$A$7:$A$11,0)),0)*IFERROR(INDEX(Weights!$B$14:$B$17,MATCH(TEXT(J1331,"0"),Weights!$A$14:$A$17,0)),0)/(1+N(N1331)/50),1))</f>
        <v/>
      </c>
      <c r="Q1331" s="5" t="s">
        <v>42</v>
      </c>
    </row>
    <row r="1332" customFormat="false" ht="15" hidden="false" customHeight="false" outlineLevel="0" collapsed="false">
      <c r="A1332" s="5" t="n">
        <v>1331</v>
      </c>
      <c r="B1332" s="5" t="s">
        <v>1495</v>
      </c>
      <c r="C1332" s="5" t="s">
        <v>51</v>
      </c>
      <c r="D1332" s="5" t="s">
        <v>1494</v>
      </c>
      <c r="E1332" s="5" t="s">
        <v>1108</v>
      </c>
      <c r="F1332" s="5" t="s">
        <v>1499</v>
      </c>
      <c r="G1332" s="5" t="s">
        <v>39</v>
      </c>
      <c r="H1332" s="5" t="s">
        <v>40</v>
      </c>
      <c r="I1332" s="5" t="s">
        <v>1481</v>
      </c>
      <c r="J1332" s="5" t="n">
        <v>2</v>
      </c>
      <c r="K1332" s="5"/>
      <c r="L1332" s="6"/>
      <c r="M1332" s="6"/>
      <c r="N1332" s="6"/>
      <c r="O1332" s="6"/>
      <c r="P1332" s="5" t="str">
        <f aca="false">IF(M1332="","",ROUND(M1332*IFERROR(INDEX(Weights!$B$2:$B$4,MATCH(G1332,Weights!$A$2:$A$4,0)),0)*IFERROR(INDEX(Weights!$B$7:$B$11,MATCH(E1332,Weights!$A$7:$A$11,0)),0)*IFERROR(INDEX(Weights!$B$14:$B$17,MATCH(TEXT(J1332,"0"),Weights!$A$14:$A$17,0)),0)/(1+N(N1332)/50),1))</f>
        <v/>
      </c>
      <c r="Q1332" s="5" t="s">
        <v>42</v>
      </c>
    </row>
    <row r="1333" customFormat="false" ht="15" hidden="false" customHeight="false" outlineLevel="0" collapsed="false">
      <c r="A1333" s="5" t="n">
        <v>1332</v>
      </c>
      <c r="B1333" s="5" t="s">
        <v>1496</v>
      </c>
      <c r="C1333" s="5" t="s">
        <v>47</v>
      </c>
      <c r="D1333" s="5" t="s">
        <v>1494</v>
      </c>
      <c r="E1333" s="5" t="s">
        <v>1108</v>
      </c>
      <c r="F1333" s="5" t="s">
        <v>1499</v>
      </c>
      <c r="G1333" s="5" t="s">
        <v>39</v>
      </c>
      <c r="H1333" s="5" t="s">
        <v>40</v>
      </c>
      <c r="I1333" s="5" t="s">
        <v>1481</v>
      </c>
      <c r="J1333" s="5" t="n">
        <v>2</v>
      </c>
      <c r="K1333" s="5"/>
      <c r="L1333" s="6"/>
      <c r="M1333" s="6"/>
      <c r="N1333" s="6"/>
      <c r="O1333" s="6"/>
      <c r="P1333" s="5" t="str">
        <f aca="false">IF(M1333="","",ROUND(M1333*IFERROR(INDEX(Weights!$B$2:$B$4,MATCH(G1333,Weights!$A$2:$A$4,0)),0)*IFERROR(INDEX(Weights!$B$7:$B$11,MATCH(E1333,Weights!$A$7:$A$11,0)),0)*IFERROR(INDEX(Weights!$B$14:$B$17,MATCH(TEXT(J1333,"0"),Weights!$A$14:$A$17,0)),0)/(1+N(N1333)/50),1))</f>
        <v/>
      </c>
      <c r="Q1333" s="5" t="s">
        <v>42</v>
      </c>
    </row>
    <row r="1334" customFormat="false" ht="15" hidden="false" customHeight="false" outlineLevel="0" collapsed="false">
      <c r="A1334" s="5" t="n">
        <v>1333</v>
      </c>
      <c r="B1334" s="5" t="s">
        <v>1497</v>
      </c>
      <c r="C1334" s="5" t="s">
        <v>35</v>
      </c>
      <c r="D1334" s="5" t="s">
        <v>1494</v>
      </c>
      <c r="E1334" s="5" t="s">
        <v>1108</v>
      </c>
      <c r="F1334" s="5" t="s">
        <v>1499</v>
      </c>
      <c r="G1334" s="5" t="s">
        <v>39</v>
      </c>
      <c r="H1334" s="5" t="s">
        <v>40</v>
      </c>
      <c r="I1334" s="5" t="s">
        <v>1481</v>
      </c>
      <c r="J1334" s="5" t="n">
        <v>2</v>
      </c>
      <c r="K1334" s="5"/>
      <c r="L1334" s="6"/>
      <c r="M1334" s="6"/>
      <c r="N1334" s="6"/>
      <c r="O1334" s="6"/>
      <c r="P1334" s="5" t="str">
        <f aca="false">IF(M1334="","",ROUND(M1334*IFERROR(INDEX(Weights!$B$2:$B$4,MATCH(G1334,Weights!$A$2:$A$4,0)),0)*IFERROR(INDEX(Weights!$B$7:$B$11,MATCH(E1334,Weights!$A$7:$A$11,0)),0)*IFERROR(INDEX(Weights!$B$14:$B$17,MATCH(TEXT(J1334,"0"),Weights!$A$14:$A$17,0)),0)/(1+N(N1334)/50),1))</f>
        <v/>
      </c>
      <c r="Q1334" s="5" t="s">
        <v>42</v>
      </c>
    </row>
    <row r="1335" customFormat="false" ht="15" hidden="false" customHeight="false" outlineLevel="0" collapsed="false">
      <c r="A1335" s="5" t="n">
        <v>1334</v>
      </c>
      <c r="B1335" s="5" t="s">
        <v>1498</v>
      </c>
      <c r="C1335" s="5" t="s">
        <v>47</v>
      </c>
      <c r="D1335" s="5" t="s">
        <v>1494</v>
      </c>
      <c r="E1335" s="5" t="s">
        <v>1108</v>
      </c>
      <c r="F1335" s="5" t="s">
        <v>1499</v>
      </c>
      <c r="G1335" s="5" t="s">
        <v>39</v>
      </c>
      <c r="H1335" s="5" t="s">
        <v>40</v>
      </c>
      <c r="I1335" s="5" t="s">
        <v>1481</v>
      </c>
      <c r="J1335" s="5" t="n">
        <v>2</v>
      </c>
      <c r="K1335" s="5"/>
      <c r="L1335" s="6"/>
      <c r="M1335" s="6"/>
      <c r="N1335" s="6"/>
      <c r="O1335" s="6"/>
      <c r="P1335" s="5" t="str">
        <f aca="false">IF(M1335="","",ROUND(M1335*IFERROR(INDEX(Weights!$B$2:$B$4,MATCH(G1335,Weights!$A$2:$A$4,0)),0)*IFERROR(INDEX(Weights!$B$7:$B$11,MATCH(E1335,Weights!$A$7:$A$11,0)),0)*IFERROR(INDEX(Weights!$B$14:$B$17,MATCH(TEXT(J1335,"0"),Weights!$A$14:$A$17,0)),0)/(1+N(N1335)/50),1))</f>
        <v/>
      </c>
      <c r="Q1335" s="5" t="s">
        <v>42</v>
      </c>
    </row>
    <row r="1336" customFormat="false" ht="15" hidden="false" customHeight="false" outlineLevel="0" collapsed="false">
      <c r="A1336" s="5" t="n">
        <v>1335</v>
      </c>
      <c r="B1336" s="5" t="s">
        <v>1475</v>
      </c>
      <c r="C1336" s="5" t="s">
        <v>35</v>
      </c>
      <c r="D1336" s="5" t="s">
        <v>19</v>
      </c>
      <c r="E1336" s="5" t="s">
        <v>1291</v>
      </c>
      <c r="F1336" s="5" t="s">
        <v>1500</v>
      </c>
      <c r="G1336" s="5" t="s">
        <v>39</v>
      </c>
      <c r="H1336" s="5" t="s">
        <v>40</v>
      </c>
      <c r="I1336" s="5" t="s">
        <v>796</v>
      </c>
      <c r="J1336" s="5" t="n">
        <v>4</v>
      </c>
      <c r="K1336" s="5"/>
      <c r="L1336" s="6"/>
      <c r="M1336" s="6"/>
      <c r="N1336" s="6"/>
      <c r="O1336" s="6"/>
      <c r="P1336" s="5" t="str">
        <f aca="false">IF(M1336="","",ROUND(M1336*IFERROR(INDEX(Weights!$B$2:$B$4,MATCH(G1336,Weights!$A$2:$A$4,0)),0)*IFERROR(INDEX(Weights!$B$7:$B$11,MATCH(E1336,Weights!$A$7:$A$11,0)),0)*IFERROR(INDEX(Weights!$B$14:$B$17,MATCH(TEXT(J1336,"0"),Weights!$A$14:$A$17,0)),0)/(1+N(N1336)/50),1))</f>
        <v/>
      </c>
      <c r="Q1336" s="5" t="s">
        <v>42</v>
      </c>
    </row>
    <row r="1337" customFormat="false" ht="15" hidden="false" customHeight="false" outlineLevel="0" collapsed="false">
      <c r="A1337" s="5" t="n">
        <v>1336</v>
      </c>
      <c r="B1337" s="5" t="s">
        <v>1477</v>
      </c>
      <c r="C1337" s="5" t="s">
        <v>35</v>
      </c>
      <c r="D1337" s="5" t="s">
        <v>19</v>
      </c>
      <c r="E1337" s="5" t="s">
        <v>1291</v>
      </c>
      <c r="F1337" s="5" t="s">
        <v>1500</v>
      </c>
      <c r="G1337" s="5" t="s">
        <v>39</v>
      </c>
      <c r="H1337" s="5" t="s">
        <v>40</v>
      </c>
      <c r="I1337" s="5" t="s">
        <v>796</v>
      </c>
      <c r="J1337" s="5" t="n">
        <v>4</v>
      </c>
      <c r="K1337" s="5"/>
      <c r="L1337" s="6"/>
      <c r="M1337" s="6"/>
      <c r="N1337" s="6"/>
      <c r="O1337" s="6"/>
      <c r="P1337" s="5" t="str">
        <f aca="false">IF(M1337="","",ROUND(M1337*IFERROR(INDEX(Weights!$B$2:$B$4,MATCH(G1337,Weights!$A$2:$A$4,0)),0)*IFERROR(INDEX(Weights!$B$7:$B$11,MATCH(E1337,Weights!$A$7:$A$11,0)),0)*IFERROR(INDEX(Weights!$B$14:$B$17,MATCH(TEXT(J1337,"0"),Weights!$A$14:$A$17,0)),0)/(1+N(N1337)/50),1))</f>
        <v/>
      </c>
      <c r="Q1337" s="5" t="s">
        <v>42</v>
      </c>
    </row>
    <row r="1338" customFormat="false" ht="15" hidden="false" customHeight="false" outlineLevel="0" collapsed="false">
      <c r="A1338" s="5" t="n">
        <v>1337</v>
      </c>
      <c r="B1338" s="5" t="s">
        <v>1478</v>
      </c>
      <c r="C1338" s="5" t="s">
        <v>35</v>
      </c>
      <c r="D1338" s="5" t="s">
        <v>399</v>
      </c>
      <c r="E1338" s="5" t="s">
        <v>1291</v>
      </c>
      <c r="F1338" s="5" t="s">
        <v>1500</v>
      </c>
      <c r="G1338" s="5" t="s">
        <v>394</v>
      </c>
      <c r="H1338" s="5" t="s">
        <v>395</v>
      </c>
      <c r="I1338" s="5" t="s">
        <v>796</v>
      </c>
      <c r="J1338" s="5" t="n">
        <v>4</v>
      </c>
      <c r="K1338" s="5"/>
      <c r="L1338" s="6"/>
      <c r="M1338" s="6"/>
      <c r="N1338" s="6"/>
      <c r="O1338" s="6"/>
      <c r="P1338" s="5" t="str">
        <f aca="false">IF(M1338="","",ROUND(M1338*IFERROR(INDEX(Weights!$B$2:$B$4,MATCH(G1338,Weights!$A$2:$A$4,0)),0)*IFERROR(INDEX(Weights!$B$7:$B$11,MATCH(E1338,Weights!$A$7:$A$11,0)),0)*IFERROR(INDEX(Weights!$B$14:$B$17,MATCH(TEXT(J1338,"0"),Weights!$A$14:$A$17,0)),0)/(1+N(N1338)/50),1))</f>
        <v/>
      </c>
      <c r="Q1338" s="5" t="s">
        <v>42</v>
      </c>
    </row>
    <row r="1339" customFormat="false" ht="15" hidden="false" customHeight="false" outlineLevel="0" collapsed="false">
      <c r="A1339" s="5" t="n">
        <v>1338</v>
      </c>
      <c r="B1339" s="5" t="s">
        <v>1479</v>
      </c>
      <c r="C1339" s="5" t="s">
        <v>47</v>
      </c>
      <c r="D1339" s="5" t="s">
        <v>1480</v>
      </c>
      <c r="E1339" s="5" t="s">
        <v>1291</v>
      </c>
      <c r="F1339" s="5" t="s">
        <v>1500</v>
      </c>
      <c r="G1339" s="5" t="s">
        <v>39</v>
      </c>
      <c r="H1339" s="5" t="s">
        <v>40</v>
      </c>
      <c r="I1339" s="5" t="s">
        <v>1481</v>
      </c>
      <c r="J1339" s="5" t="n">
        <v>2</v>
      </c>
      <c r="K1339" s="5"/>
      <c r="L1339" s="6"/>
      <c r="M1339" s="6"/>
      <c r="N1339" s="6"/>
      <c r="O1339" s="6"/>
      <c r="P1339" s="5" t="str">
        <f aca="false">IF(M1339="","",ROUND(M1339*IFERROR(INDEX(Weights!$B$2:$B$4,MATCH(G1339,Weights!$A$2:$A$4,0)),0)*IFERROR(INDEX(Weights!$B$7:$B$11,MATCH(E1339,Weights!$A$7:$A$11,0)),0)*IFERROR(INDEX(Weights!$B$14:$B$17,MATCH(TEXT(J1339,"0"),Weights!$A$14:$A$17,0)),0)/(1+N(N1339)/50),1))</f>
        <v/>
      </c>
      <c r="Q1339" s="5" t="s">
        <v>42</v>
      </c>
    </row>
    <row r="1340" customFormat="false" ht="15" hidden="false" customHeight="false" outlineLevel="0" collapsed="false">
      <c r="A1340" s="5" t="n">
        <v>1339</v>
      </c>
      <c r="B1340" s="5" t="s">
        <v>1482</v>
      </c>
      <c r="C1340" s="5" t="s">
        <v>47</v>
      </c>
      <c r="D1340" s="5" t="s">
        <v>1480</v>
      </c>
      <c r="E1340" s="5" t="s">
        <v>1291</v>
      </c>
      <c r="F1340" s="5" t="s">
        <v>1500</v>
      </c>
      <c r="G1340" s="5" t="s">
        <v>39</v>
      </c>
      <c r="H1340" s="5" t="s">
        <v>40</v>
      </c>
      <c r="I1340" s="5" t="s">
        <v>1481</v>
      </c>
      <c r="J1340" s="5" t="n">
        <v>2</v>
      </c>
      <c r="K1340" s="5"/>
      <c r="L1340" s="6"/>
      <c r="M1340" s="6"/>
      <c r="N1340" s="6"/>
      <c r="O1340" s="6"/>
      <c r="P1340" s="5" t="str">
        <f aca="false">IF(M1340="","",ROUND(M1340*IFERROR(INDEX(Weights!$B$2:$B$4,MATCH(G1340,Weights!$A$2:$A$4,0)),0)*IFERROR(INDEX(Weights!$B$7:$B$11,MATCH(E1340,Weights!$A$7:$A$11,0)),0)*IFERROR(INDEX(Weights!$B$14:$B$17,MATCH(TEXT(J1340,"0"),Weights!$A$14:$A$17,0)),0)/(1+N(N1340)/50),1))</f>
        <v/>
      </c>
      <c r="Q1340" s="5" t="s">
        <v>42</v>
      </c>
    </row>
    <row r="1341" customFormat="false" ht="15" hidden="false" customHeight="false" outlineLevel="0" collapsed="false">
      <c r="A1341" s="5" t="n">
        <v>1340</v>
      </c>
      <c r="B1341" s="5" t="s">
        <v>1483</v>
      </c>
      <c r="C1341" s="5" t="s">
        <v>47</v>
      </c>
      <c r="D1341" s="5" t="s">
        <v>1480</v>
      </c>
      <c r="E1341" s="5" t="s">
        <v>1291</v>
      </c>
      <c r="F1341" s="5" t="s">
        <v>1500</v>
      </c>
      <c r="G1341" s="5" t="s">
        <v>39</v>
      </c>
      <c r="H1341" s="5" t="s">
        <v>40</v>
      </c>
      <c r="I1341" s="5" t="s">
        <v>1481</v>
      </c>
      <c r="J1341" s="5" t="n">
        <v>2</v>
      </c>
      <c r="K1341" s="5"/>
      <c r="L1341" s="6"/>
      <c r="M1341" s="6"/>
      <c r="N1341" s="6"/>
      <c r="O1341" s="6"/>
      <c r="P1341" s="5" t="str">
        <f aca="false">IF(M1341="","",ROUND(M1341*IFERROR(INDEX(Weights!$B$2:$B$4,MATCH(G1341,Weights!$A$2:$A$4,0)),0)*IFERROR(INDEX(Weights!$B$7:$B$11,MATCH(E1341,Weights!$A$7:$A$11,0)),0)*IFERROR(INDEX(Weights!$B$14:$B$17,MATCH(TEXT(J1341,"0"),Weights!$A$14:$A$17,0)),0)/(1+N(N1341)/50),1))</f>
        <v/>
      </c>
      <c r="Q1341" s="5" t="s">
        <v>42</v>
      </c>
    </row>
    <row r="1342" customFormat="false" ht="15" hidden="false" customHeight="false" outlineLevel="0" collapsed="false">
      <c r="A1342" s="5" t="n">
        <v>1341</v>
      </c>
      <c r="B1342" s="5" t="s">
        <v>1484</v>
      </c>
      <c r="C1342" s="5" t="s">
        <v>51</v>
      </c>
      <c r="D1342" s="5" t="s">
        <v>1480</v>
      </c>
      <c r="E1342" s="5" t="s">
        <v>1291</v>
      </c>
      <c r="F1342" s="5" t="s">
        <v>1500</v>
      </c>
      <c r="G1342" s="5" t="s">
        <v>39</v>
      </c>
      <c r="H1342" s="5" t="s">
        <v>40</v>
      </c>
      <c r="I1342" s="5" t="s">
        <v>1481</v>
      </c>
      <c r="J1342" s="5" t="n">
        <v>2</v>
      </c>
      <c r="K1342" s="5"/>
      <c r="L1342" s="6"/>
      <c r="M1342" s="6"/>
      <c r="N1342" s="6"/>
      <c r="O1342" s="6"/>
      <c r="P1342" s="5" t="str">
        <f aca="false">IF(M1342="","",ROUND(M1342*IFERROR(INDEX(Weights!$B$2:$B$4,MATCH(G1342,Weights!$A$2:$A$4,0)),0)*IFERROR(INDEX(Weights!$B$7:$B$11,MATCH(E1342,Weights!$A$7:$A$11,0)),0)*IFERROR(INDEX(Weights!$B$14:$B$17,MATCH(TEXT(J1342,"0"),Weights!$A$14:$A$17,0)),0)/(1+N(N1342)/50),1))</f>
        <v/>
      </c>
      <c r="Q1342" s="5" t="s">
        <v>42</v>
      </c>
    </row>
    <row r="1343" customFormat="false" ht="15" hidden="false" customHeight="false" outlineLevel="0" collapsed="false">
      <c r="A1343" s="5" t="n">
        <v>1342</v>
      </c>
      <c r="B1343" s="5" t="s">
        <v>1485</v>
      </c>
      <c r="C1343" s="5" t="s">
        <v>51</v>
      </c>
      <c r="D1343" s="5" t="s">
        <v>1480</v>
      </c>
      <c r="E1343" s="5" t="s">
        <v>1291</v>
      </c>
      <c r="F1343" s="5" t="s">
        <v>1500</v>
      </c>
      <c r="G1343" s="5" t="s">
        <v>39</v>
      </c>
      <c r="H1343" s="5" t="s">
        <v>40</v>
      </c>
      <c r="I1343" s="5" t="s">
        <v>1481</v>
      </c>
      <c r="J1343" s="5" t="n">
        <v>2</v>
      </c>
      <c r="K1343" s="5"/>
      <c r="L1343" s="6"/>
      <c r="M1343" s="6"/>
      <c r="N1343" s="6"/>
      <c r="O1343" s="6"/>
      <c r="P1343" s="5" t="str">
        <f aca="false">IF(M1343="","",ROUND(M1343*IFERROR(INDEX(Weights!$B$2:$B$4,MATCH(G1343,Weights!$A$2:$A$4,0)),0)*IFERROR(INDEX(Weights!$B$7:$B$11,MATCH(E1343,Weights!$A$7:$A$11,0)),0)*IFERROR(INDEX(Weights!$B$14:$B$17,MATCH(TEXT(J1343,"0"),Weights!$A$14:$A$17,0)),0)/(1+N(N1343)/50),1))</f>
        <v/>
      </c>
      <c r="Q1343" s="5" t="s">
        <v>42</v>
      </c>
    </row>
    <row r="1344" customFormat="false" ht="15" hidden="false" customHeight="false" outlineLevel="0" collapsed="false">
      <c r="A1344" s="5" t="n">
        <v>1343</v>
      </c>
      <c r="B1344" s="5" t="s">
        <v>1486</v>
      </c>
      <c r="C1344" s="5" t="s">
        <v>54</v>
      </c>
      <c r="D1344" s="5" t="s">
        <v>1480</v>
      </c>
      <c r="E1344" s="5" t="s">
        <v>1291</v>
      </c>
      <c r="F1344" s="5" t="s">
        <v>1500</v>
      </c>
      <c r="G1344" s="5" t="s">
        <v>39</v>
      </c>
      <c r="H1344" s="5" t="s">
        <v>40</v>
      </c>
      <c r="I1344" s="5" t="s">
        <v>1481</v>
      </c>
      <c r="J1344" s="5" t="n">
        <v>2</v>
      </c>
      <c r="K1344" s="5"/>
      <c r="L1344" s="6"/>
      <c r="M1344" s="6"/>
      <c r="N1344" s="6"/>
      <c r="O1344" s="6"/>
      <c r="P1344" s="5" t="str">
        <f aca="false">IF(M1344="","",ROUND(M1344*IFERROR(INDEX(Weights!$B$2:$B$4,MATCH(G1344,Weights!$A$2:$A$4,0)),0)*IFERROR(INDEX(Weights!$B$7:$B$11,MATCH(E1344,Weights!$A$7:$A$11,0)),0)*IFERROR(INDEX(Weights!$B$14:$B$17,MATCH(TEXT(J1344,"0"),Weights!$A$14:$A$17,0)),0)/(1+N(N1344)/50),1))</f>
        <v/>
      </c>
      <c r="Q1344" s="5" t="s">
        <v>42</v>
      </c>
    </row>
    <row r="1345" customFormat="false" ht="15" hidden="false" customHeight="false" outlineLevel="0" collapsed="false">
      <c r="A1345" s="5" t="n">
        <v>1344</v>
      </c>
      <c r="B1345" s="5" t="s">
        <v>1487</v>
      </c>
      <c r="C1345" s="5" t="s">
        <v>57</v>
      </c>
      <c r="D1345" s="5" t="s">
        <v>1480</v>
      </c>
      <c r="E1345" s="5" t="s">
        <v>1291</v>
      </c>
      <c r="F1345" s="5" t="s">
        <v>1500</v>
      </c>
      <c r="G1345" s="5" t="s">
        <v>39</v>
      </c>
      <c r="H1345" s="5" t="s">
        <v>40</v>
      </c>
      <c r="I1345" s="5" t="s">
        <v>1481</v>
      </c>
      <c r="J1345" s="5" t="n">
        <v>2</v>
      </c>
      <c r="K1345" s="5"/>
      <c r="L1345" s="6"/>
      <c r="M1345" s="6"/>
      <c r="N1345" s="6"/>
      <c r="O1345" s="6"/>
      <c r="P1345" s="5" t="str">
        <f aca="false">IF(M1345="","",ROUND(M1345*IFERROR(INDEX(Weights!$B$2:$B$4,MATCH(G1345,Weights!$A$2:$A$4,0)),0)*IFERROR(INDEX(Weights!$B$7:$B$11,MATCH(E1345,Weights!$A$7:$A$11,0)),0)*IFERROR(INDEX(Weights!$B$14:$B$17,MATCH(TEXT(J1345,"0"),Weights!$A$14:$A$17,0)),0)/(1+N(N1345)/50),1))</f>
        <v/>
      </c>
      <c r="Q1345" s="5" t="s">
        <v>42</v>
      </c>
    </row>
    <row r="1346" customFormat="false" ht="15" hidden="false" customHeight="false" outlineLevel="0" collapsed="false">
      <c r="A1346" s="5" t="n">
        <v>1345</v>
      </c>
      <c r="B1346" s="5" t="s">
        <v>1488</v>
      </c>
      <c r="C1346" s="5" t="s">
        <v>57</v>
      </c>
      <c r="D1346" s="5" t="s">
        <v>1480</v>
      </c>
      <c r="E1346" s="5" t="s">
        <v>1291</v>
      </c>
      <c r="F1346" s="5" t="s">
        <v>1500</v>
      </c>
      <c r="G1346" s="5" t="s">
        <v>39</v>
      </c>
      <c r="H1346" s="5" t="s">
        <v>40</v>
      </c>
      <c r="I1346" s="5" t="s">
        <v>1481</v>
      </c>
      <c r="J1346" s="5" t="n">
        <v>2</v>
      </c>
      <c r="K1346" s="5"/>
      <c r="L1346" s="6"/>
      <c r="M1346" s="6"/>
      <c r="N1346" s="6"/>
      <c r="O1346" s="6"/>
      <c r="P1346" s="5" t="str">
        <f aca="false">IF(M1346="","",ROUND(M1346*IFERROR(INDEX(Weights!$B$2:$B$4,MATCH(G1346,Weights!$A$2:$A$4,0)),0)*IFERROR(INDEX(Weights!$B$7:$B$11,MATCH(E1346,Weights!$A$7:$A$11,0)),0)*IFERROR(INDEX(Weights!$B$14:$B$17,MATCH(TEXT(J1346,"0"),Weights!$A$14:$A$17,0)),0)/(1+N(N1346)/50),1))</f>
        <v/>
      </c>
      <c r="Q1346" s="5" t="s">
        <v>42</v>
      </c>
    </row>
    <row r="1347" customFormat="false" ht="15" hidden="false" customHeight="false" outlineLevel="0" collapsed="false">
      <c r="A1347" s="5" t="n">
        <v>1346</v>
      </c>
      <c r="B1347" s="5" t="s">
        <v>1489</v>
      </c>
      <c r="C1347" s="5" t="s">
        <v>64</v>
      </c>
      <c r="D1347" s="5" t="s">
        <v>1480</v>
      </c>
      <c r="E1347" s="5" t="s">
        <v>1291</v>
      </c>
      <c r="F1347" s="5" t="s">
        <v>1500</v>
      </c>
      <c r="G1347" s="5" t="s">
        <v>39</v>
      </c>
      <c r="H1347" s="5" t="s">
        <v>40</v>
      </c>
      <c r="I1347" s="5" t="s">
        <v>1481</v>
      </c>
      <c r="J1347" s="5" t="n">
        <v>2</v>
      </c>
      <c r="K1347" s="5"/>
      <c r="L1347" s="6"/>
      <c r="M1347" s="6"/>
      <c r="N1347" s="6"/>
      <c r="O1347" s="6"/>
      <c r="P1347" s="5" t="str">
        <f aca="false">IF(M1347="","",ROUND(M1347*IFERROR(INDEX(Weights!$B$2:$B$4,MATCH(G1347,Weights!$A$2:$A$4,0)),0)*IFERROR(INDEX(Weights!$B$7:$B$11,MATCH(E1347,Weights!$A$7:$A$11,0)),0)*IFERROR(INDEX(Weights!$B$14:$B$17,MATCH(TEXT(J1347,"0"),Weights!$A$14:$A$17,0)),0)/(1+N(N1347)/50),1))</f>
        <v/>
      </c>
      <c r="Q1347" s="5" t="s">
        <v>42</v>
      </c>
    </row>
    <row r="1348" customFormat="false" ht="15" hidden="false" customHeight="false" outlineLevel="0" collapsed="false">
      <c r="A1348" s="5" t="n">
        <v>1347</v>
      </c>
      <c r="B1348" s="5" t="s">
        <v>1490</v>
      </c>
      <c r="C1348" s="5" t="s">
        <v>64</v>
      </c>
      <c r="D1348" s="5" t="s">
        <v>1480</v>
      </c>
      <c r="E1348" s="5" t="s">
        <v>1291</v>
      </c>
      <c r="F1348" s="5" t="s">
        <v>1500</v>
      </c>
      <c r="G1348" s="5" t="s">
        <v>39</v>
      </c>
      <c r="H1348" s="5" t="s">
        <v>40</v>
      </c>
      <c r="I1348" s="5" t="s">
        <v>1481</v>
      </c>
      <c r="J1348" s="5" t="n">
        <v>2</v>
      </c>
      <c r="K1348" s="5"/>
      <c r="L1348" s="6"/>
      <c r="M1348" s="6"/>
      <c r="N1348" s="6"/>
      <c r="O1348" s="6"/>
      <c r="P1348" s="5" t="str">
        <f aca="false">IF(M1348="","",ROUND(M1348*IFERROR(INDEX(Weights!$B$2:$B$4,MATCH(G1348,Weights!$A$2:$A$4,0)),0)*IFERROR(INDEX(Weights!$B$7:$B$11,MATCH(E1348,Weights!$A$7:$A$11,0)),0)*IFERROR(INDEX(Weights!$B$14:$B$17,MATCH(TEXT(J1348,"0"),Weights!$A$14:$A$17,0)),0)/(1+N(N1348)/50),1))</f>
        <v/>
      </c>
      <c r="Q1348" s="5" t="s">
        <v>42</v>
      </c>
    </row>
    <row r="1349" customFormat="false" ht="15" hidden="false" customHeight="false" outlineLevel="0" collapsed="false">
      <c r="A1349" s="5" t="n">
        <v>1348</v>
      </c>
      <c r="B1349" s="5" t="s">
        <v>1491</v>
      </c>
      <c r="C1349" s="5" t="s">
        <v>464</v>
      </c>
      <c r="D1349" s="5" t="s">
        <v>1480</v>
      </c>
      <c r="E1349" s="5" t="s">
        <v>1291</v>
      </c>
      <c r="F1349" s="5" t="s">
        <v>1500</v>
      </c>
      <c r="G1349" s="5" t="s">
        <v>39</v>
      </c>
      <c r="H1349" s="5" t="s">
        <v>40</v>
      </c>
      <c r="I1349" s="5" t="s">
        <v>1481</v>
      </c>
      <c r="J1349" s="5" t="n">
        <v>2</v>
      </c>
      <c r="K1349" s="5"/>
      <c r="L1349" s="6"/>
      <c r="M1349" s="6"/>
      <c r="N1349" s="6"/>
      <c r="O1349" s="6"/>
      <c r="P1349" s="5" t="str">
        <f aca="false">IF(M1349="","",ROUND(M1349*IFERROR(INDEX(Weights!$B$2:$B$4,MATCH(G1349,Weights!$A$2:$A$4,0)),0)*IFERROR(INDEX(Weights!$B$7:$B$11,MATCH(E1349,Weights!$A$7:$A$11,0)),0)*IFERROR(INDEX(Weights!$B$14:$B$17,MATCH(TEXT(J1349,"0"),Weights!$A$14:$A$17,0)),0)/(1+N(N1349)/50),1))</f>
        <v/>
      </c>
      <c r="Q1349" s="5" t="s">
        <v>42</v>
      </c>
    </row>
    <row r="1350" customFormat="false" ht="15" hidden="false" customHeight="false" outlineLevel="0" collapsed="false">
      <c r="A1350" s="5" t="n">
        <v>1349</v>
      </c>
      <c r="B1350" s="5" t="s">
        <v>1492</v>
      </c>
      <c r="C1350" s="5" t="s">
        <v>35</v>
      </c>
      <c r="D1350" s="5" t="s">
        <v>1480</v>
      </c>
      <c r="E1350" s="5" t="s">
        <v>1291</v>
      </c>
      <c r="F1350" s="5" t="s">
        <v>1500</v>
      </c>
      <c r="G1350" s="5" t="s">
        <v>39</v>
      </c>
      <c r="H1350" s="5" t="s">
        <v>40</v>
      </c>
      <c r="I1350" s="5" t="s">
        <v>1481</v>
      </c>
      <c r="J1350" s="5" t="n">
        <v>2</v>
      </c>
      <c r="K1350" s="5"/>
      <c r="L1350" s="6"/>
      <c r="M1350" s="6"/>
      <c r="N1350" s="6"/>
      <c r="O1350" s="6"/>
      <c r="P1350" s="5" t="str">
        <f aca="false">IF(M1350="","",ROUND(M1350*IFERROR(INDEX(Weights!$B$2:$B$4,MATCH(G1350,Weights!$A$2:$A$4,0)),0)*IFERROR(INDEX(Weights!$B$7:$B$11,MATCH(E1350,Weights!$A$7:$A$11,0)),0)*IFERROR(INDEX(Weights!$B$14:$B$17,MATCH(TEXT(J1350,"0"),Weights!$A$14:$A$17,0)),0)/(1+N(N1350)/50),1))</f>
        <v/>
      </c>
      <c r="Q1350" s="5" t="s">
        <v>42</v>
      </c>
    </row>
    <row r="1351" customFormat="false" ht="15" hidden="false" customHeight="false" outlineLevel="0" collapsed="false">
      <c r="A1351" s="5" t="n">
        <v>1350</v>
      </c>
      <c r="B1351" s="5" t="s">
        <v>1493</v>
      </c>
      <c r="C1351" s="5" t="s">
        <v>57</v>
      </c>
      <c r="D1351" s="5" t="s">
        <v>1494</v>
      </c>
      <c r="E1351" s="5" t="s">
        <v>1291</v>
      </c>
      <c r="F1351" s="5" t="s">
        <v>1500</v>
      </c>
      <c r="G1351" s="5" t="s">
        <v>39</v>
      </c>
      <c r="H1351" s="5" t="s">
        <v>40</v>
      </c>
      <c r="I1351" s="5" t="s">
        <v>1481</v>
      </c>
      <c r="J1351" s="5" t="n">
        <v>2</v>
      </c>
      <c r="K1351" s="5"/>
      <c r="L1351" s="6"/>
      <c r="M1351" s="6"/>
      <c r="N1351" s="6"/>
      <c r="O1351" s="6"/>
      <c r="P1351" s="5" t="str">
        <f aca="false">IF(M1351="","",ROUND(M1351*IFERROR(INDEX(Weights!$B$2:$B$4,MATCH(G1351,Weights!$A$2:$A$4,0)),0)*IFERROR(INDEX(Weights!$B$7:$B$11,MATCH(E1351,Weights!$A$7:$A$11,0)),0)*IFERROR(INDEX(Weights!$B$14:$B$17,MATCH(TEXT(J1351,"0"),Weights!$A$14:$A$17,0)),0)/(1+N(N1351)/50),1))</f>
        <v/>
      </c>
      <c r="Q1351" s="5" t="s">
        <v>42</v>
      </c>
    </row>
    <row r="1352" customFormat="false" ht="15" hidden="false" customHeight="false" outlineLevel="0" collapsed="false">
      <c r="A1352" s="5" t="n">
        <v>1351</v>
      </c>
      <c r="B1352" s="5" t="s">
        <v>1495</v>
      </c>
      <c r="C1352" s="5" t="s">
        <v>51</v>
      </c>
      <c r="D1352" s="5" t="s">
        <v>1494</v>
      </c>
      <c r="E1352" s="5" t="s">
        <v>1291</v>
      </c>
      <c r="F1352" s="5" t="s">
        <v>1500</v>
      </c>
      <c r="G1352" s="5" t="s">
        <v>39</v>
      </c>
      <c r="H1352" s="5" t="s">
        <v>40</v>
      </c>
      <c r="I1352" s="5" t="s">
        <v>1481</v>
      </c>
      <c r="J1352" s="5" t="n">
        <v>2</v>
      </c>
      <c r="K1352" s="5"/>
      <c r="L1352" s="6"/>
      <c r="M1352" s="6"/>
      <c r="N1352" s="6"/>
      <c r="O1352" s="6"/>
      <c r="P1352" s="5" t="str">
        <f aca="false">IF(M1352="","",ROUND(M1352*IFERROR(INDEX(Weights!$B$2:$B$4,MATCH(G1352,Weights!$A$2:$A$4,0)),0)*IFERROR(INDEX(Weights!$B$7:$B$11,MATCH(E1352,Weights!$A$7:$A$11,0)),0)*IFERROR(INDEX(Weights!$B$14:$B$17,MATCH(TEXT(J1352,"0"),Weights!$A$14:$A$17,0)),0)/(1+N(N1352)/50),1))</f>
        <v/>
      </c>
      <c r="Q1352" s="5" t="s">
        <v>42</v>
      </c>
    </row>
    <row r="1353" customFormat="false" ht="15" hidden="false" customHeight="false" outlineLevel="0" collapsed="false">
      <c r="A1353" s="5" t="n">
        <v>1352</v>
      </c>
      <c r="B1353" s="5" t="s">
        <v>1496</v>
      </c>
      <c r="C1353" s="5" t="s">
        <v>47</v>
      </c>
      <c r="D1353" s="5" t="s">
        <v>1494</v>
      </c>
      <c r="E1353" s="5" t="s">
        <v>1291</v>
      </c>
      <c r="F1353" s="5" t="s">
        <v>1500</v>
      </c>
      <c r="G1353" s="5" t="s">
        <v>39</v>
      </c>
      <c r="H1353" s="5" t="s">
        <v>40</v>
      </c>
      <c r="I1353" s="5" t="s">
        <v>1481</v>
      </c>
      <c r="J1353" s="5" t="n">
        <v>2</v>
      </c>
      <c r="K1353" s="5"/>
      <c r="L1353" s="6"/>
      <c r="M1353" s="6"/>
      <c r="N1353" s="6"/>
      <c r="O1353" s="6"/>
      <c r="P1353" s="5" t="str">
        <f aca="false">IF(M1353="","",ROUND(M1353*IFERROR(INDEX(Weights!$B$2:$B$4,MATCH(G1353,Weights!$A$2:$A$4,0)),0)*IFERROR(INDEX(Weights!$B$7:$B$11,MATCH(E1353,Weights!$A$7:$A$11,0)),0)*IFERROR(INDEX(Weights!$B$14:$B$17,MATCH(TEXT(J1353,"0"),Weights!$A$14:$A$17,0)),0)/(1+N(N1353)/50),1))</f>
        <v/>
      </c>
      <c r="Q1353" s="5" t="s">
        <v>42</v>
      </c>
    </row>
    <row r="1354" customFormat="false" ht="15" hidden="false" customHeight="false" outlineLevel="0" collapsed="false">
      <c r="A1354" s="5" t="n">
        <v>1353</v>
      </c>
      <c r="B1354" s="5" t="s">
        <v>1497</v>
      </c>
      <c r="C1354" s="5" t="s">
        <v>35</v>
      </c>
      <c r="D1354" s="5" t="s">
        <v>1494</v>
      </c>
      <c r="E1354" s="5" t="s">
        <v>1291</v>
      </c>
      <c r="F1354" s="5" t="s">
        <v>1500</v>
      </c>
      <c r="G1354" s="5" t="s">
        <v>39</v>
      </c>
      <c r="H1354" s="5" t="s">
        <v>40</v>
      </c>
      <c r="I1354" s="5" t="s">
        <v>1481</v>
      </c>
      <c r="J1354" s="5" t="n">
        <v>2</v>
      </c>
      <c r="K1354" s="5"/>
      <c r="L1354" s="6"/>
      <c r="M1354" s="6"/>
      <c r="N1354" s="6"/>
      <c r="O1354" s="6"/>
      <c r="P1354" s="5" t="str">
        <f aca="false">IF(M1354="","",ROUND(M1354*IFERROR(INDEX(Weights!$B$2:$B$4,MATCH(G1354,Weights!$A$2:$A$4,0)),0)*IFERROR(INDEX(Weights!$B$7:$B$11,MATCH(E1354,Weights!$A$7:$A$11,0)),0)*IFERROR(INDEX(Weights!$B$14:$B$17,MATCH(TEXT(J1354,"0"),Weights!$A$14:$A$17,0)),0)/(1+N(N1354)/50),1))</f>
        <v/>
      </c>
      <c r="Q1354" s="5" t="s">
        <v>42</v>
      </c>
    </row>
    <row r="1355" customFormat="false" ht="15" hidden="false" customHeight="false" outlineLevel="0" collapsed="false">
      <c r="A1355" s="5" t="n">
        <v>1354</v>
      </c>
      <c r="B1355" s="5" t="s">
        <v>1498</v>
      </c>
      <c r="C1355" s="5" t="s">
        <v>47</v>
      </c>
      <c r="D1355" s="5" t="s">
        <v>1494</v>
      </c>
      <c r="E1355" s="5" t="s">
        <v>1291</v>
      </c>
      <c r="F1355" s="5" t="s">
        <v>1500</v>
      </c>
      <c r="G1355" s="5" t="s">
        <v>39</v>
      </c>
      <c r="H1355" s="5" t="s">
        <v>40</v>
      </c>
      <c r="I1355" s="5" t="s">
        <v>1481</v>
      </c>
      <c r="J1355" s="5" t="n">
        <v>2</v>
      </c>
      <c r="K1355" s="5"/>
      <c r="L1355" s="6"/>
      <c r="M1355" s="6"/>
      <c r="N1355" s="6"/>
      <c r="O1355" s="6"/>
      <c r="P1355" s="5" t="str">
        <f aca="false">IF(M1355="","",ROUND(M1355*IFERROR(INDEX(Weights!$B$2:$B$4,MATCH(G1355,Weights!$A$2:$A$4,0)),0)*IFERROR(INDEX(Weights!$B$7:$B$11,MATCH(E1355,Weights!$A$7:$A$11,0)),0)*IFERROR(INDEX(Weights!$B$14:$B$17,MATCH(TEXT(J1355,"0"),Weights!$A$14:$A$17,0)),0)/(1+N(N1355)/50),1))</f>
        <v/>
      </c>
      <c r="Q1355" s="5" t="s">
        <v>42</v>
      </c>
    </row>
  </sheetData>
  <autoFilter ref="A1:Q135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8" min="2" style="0" width="15"/>
  </cols>
  <sheetData>
    <row r="1" customFormat="false" ht="15" hidden="false" customHeight="false" outlineLevel="0" collapsed="false">
      <c r="A1" s="7" t="s">
        <v>1501</v>
      </c>
    </row>
    <row r="3" customFormat="false" ht="15" hidden="false" customHeight="false" outlineLevel="0" collapsed="false">
      <c r="A3" s="8" t="s">
        <v>19</v>
      </c>
      <c r="B3" s="8" t="s">
        <v>37</v>
      </c>
      <c r="C3" s="8" t="s">
        <v>656</v>
      </c>
      <c r="D3" s="8" t="s">
        <v>794</v>
      </c>
      <c r="E3" s="8" t="s">
        <v>1108</v>
      </c>
      <c r="F3" s="8" t="s">
        <v>1291</v>
      </c>
      <c r="G3" s="8" t="s">
        <v>1502</v>
      </c>
      <c r="H3" s="8" t="s">
        <v>1503</v>
      </c>
    </row>
    <row r="4" customFormat="false" ht="15" hidden="false" customHeight="false" outlineLevel="0" collapsed="false">
      <c r="A4" s="9" t="s">
        <v>35</v>
      </c>
      <c r="B4" s="10" t="n">
        <f aca="false">SUMIFS(Keywords!$M$2:$M$1355,Keywords!$C$2:$C$1355,$A4,Keywords!$E$2:$E$1355,B$3,Keywords!$Q$2:$Q$1355,"Y")</f>
        <v>0</v>
      </c>
      <c r="C4" s="10" t="n">
        <f aca="false">SUMIFS(Keywords!$M$2:$M$1355,Keywords!$C$2:$C$1355,$A4,Keywords!$E$2:$E$1355,C$3,Keywords!$Q$2:$Q$1355,"Y")</f>
        <v>0</v>
      </c>
      <c r="D4" s="10" t="n">
        <f aca="false">SUMIFS(Keywords!$M$2:$M$1355,Keywords!$C$2:$C$1355,$A4,Keywords!$E$2:$E$1355,D$3,Keywords!$Q$2:$Q$1355,"Y")</f>
        <v>0</v>
      </c>
      <c r="E4" s="10" t="n">
        <f aca="false">SUMIFS(Keywords!$M$2:$M$1355,Keywords!$C$2:$C$1355,$A4,Keywords!$E$2:$E$1355,E$3,Keywords!$Q$2:$Q$1355,"Y")</f>
        <v>0</v>
      </c>
      <c r="F4" s="10" t="n">
        <f aca="false">SUMIFS(Keywords!$M$2:$M$1355,Keywords!$C$2:$C$1355,$A4,Keywords!$E$2:$E$1355,F$3,Keywords!$Q$2:$Q$1355,"Y")</f>
        <v>0</v>
      </c>
      <c r="G4" s="9" t="n">
        <f aca="false">COUNTIF(Keywords!$C$2:$C$1355,$A4)</f>
        <v>213</v>
      </c>
      <c r="H4" s="10" t="n">
        <f aca="false">SUMIFS(Keywords!$P$2:$P$1355,Keywords!$C$2:$C$1355,$A4,Keywords!$Q$2:$Q$1355,"Y")</f>
        <v>0</v>
      </c>
    </row>
    <row r="5" customFormat="false" ht="15" hidden="false" customHeight="false" outlineLevel="0" collapsed="false">
      <c r="A5" s="9" t="s">
        <v>47</v>
      </c>
      <c r="B5" s="10" t="n">
        <f aca="false">SUMIFS(Keywords!$M$2:$M$1355,Keywords!$C$2:$C$1355,$A5,Keywords!$E$2:$E$1355,B$3,Keywords!$Q$2:$Q$1355,"Y")</f>
        <v>0</v>
      </c>
      <c r="C5" s="10" t="n">
        <f aca="false">SUMIFS(Keywords!$M$2:$M$1355,Keywords!$C$2:$C$1355,$A5,Keywords!$E$2:$E$1355,C$3,Keywords!$Q$2:$Q$1355,"Y")</f>
        <v>0</v>
      </c>
      <c r="D5" s="10" t="n">
        <f aca="false">SUMIFS(Keywords!$M$2:$M$1355,Keywords!$C$2:$C$1355,$A5,Keywords!$E$2:$E$1355,D$3,Keywords!$Q$2:$Q$1355,"Y")</f>
        <v>0</v>
      </c>
      <c r="E5" s="10" t="n">
        <f aca="false">SUMIFS(Keywords!$M$2:$M$1355,Keywords!$C$2:$C$1355,$A5,Keywords!$E$2:$E$1355,E$3,Keywords!$Q$2:$Q$1355,"Y")</f>
        <v>0</v>
      </c>
      <c r="F5" s="10" t="n">
        <f aca="false">SUMIFS(Keywords!$M$2:$M$1355,Keywords!$C$2:$C$1355,$A5,Keywords!$E$2:$E$1355,F$3,Keywords!$Q$2:$Q$1355,"Y")</f>
        <v>0</v>
      </c>
      <c r="G5" s="9" t="n">
        <f aca="false">COUNTIF(Keywords!$C$2:$C$1355,$A5)</f>
        <v>183</v>
      </c>
      <c r="H5" s="10" t="n">
        <f aca="false">SUMIFS(Keywords!$P$2:$P$1355,Keywords!$C$2:$C$1355,$A5,Keywords!$Q$2:$Q$1355,"Y")</f>
        <v>0</v>
      </c>
    </row>
    <row r="6" customFormat="false" ht="15" hidden="false" customHeight="false" outlineLevel="0" collapsed="false">
      <c r="A6" s="9" t="s">
        <v>51</v>
      </c>
      <c r="B6" s="10" t="n">
        <f aca="false">SUMIFS(Keywords!$M$2:$M$1355,Keywords!$C$2:$C$1355,$A6,Keywords!$E$2:$E$1355,B$3,Keywords!$Q$2:$Q$1355,"Y")</f>
        <v>0</v>
      </c>
      <c r="C6" s="10" t="n">
        <f aca="false">SUMIFS(Keywords!$M$2:$M$1355,Keywords!$C$2:$C$1355,$A6,Keywords!$E$2:$E$1355,C$3,Keywords!$Q$2:$Q$1355,"Y")</f>
        <v>0</v>
      </c>
      <c r="D6" s="10" t="n">
        <f aca="false">SUMIFS(Keywords!$M$2:$M$1355,Keywords!$C$2:$C$1355,$A6,Keywords!$E$2:$E$1355,D$3,Keywords!$Q$2:$Q$1355,"Y")</f>
        <v>0</v>
      </c>
      <c r="E6" s="10" t="n">
        <f aca="false">SUMIFS(Keywords!$M$2:$M$1355,Keywords!$C$2:$C$1355,$A6,Keywords!$E$2:$E$1355,E$3,Keywords!$Q$2:$Q$1355,"Y")</f>
        <v>0</v>
      </c>
      <c r="F6" s="10" t="n">
        <f aca="false">SUMIFS(Keywords!$M$2:$M$1355,Keywords!$C$2:$C$1355,$A6,Keywords!$E$2:$E$1355,F$3,Keywords!$Q$2:$Q$1355,"Y")</f>
        <v>0</v>
      </c>
      <c r="G6" s="9" t="n">
        <f aca="false">COUNTIF(Keywords!$C$2:$C$1355,$A6)</f>
        <v>116</v>
      </c>
      <c r="H6" s="10" t="n">
        <f aca="false">SUMIFS(Keywords!$P$2:$P$1355,Keywords!$C$2:$C$1355,$A6,Keywords!$Q$2:$Q$1355,"Y")</f>
        <v>0</v>
      </c>
    </row>
    <row r="7" customFormat="false" ht="15" hidden="false" customHeight="false" outlineLevel="0" collapsed="false">
      <c r="A7" s="9" t="s">
        <v>54</v>
      </c>
      <c r="B7" s="10" t="n">
        <f aca="false">SUMIFS(Keywords!$M$2:$M$1355,Keywords!$C$2:$C$1355,$A7,Keywords!$E$2:$E$1355,B$3,Keywords!$Q$2:$Q$1355,"Y")</f>
        <v>0</v>
      </c>
      <c r="C7" s="10" t="n">
        <f aca="false">SUMIFS(Keywords!$M$2:$M$1355,Keywords!$C$2:$C$1355,$A7,Keywords!$E$2:$E$1355,C$3,Keywords!$Q$2:$Q$1355,"Y")</f>
        <v>0</v>
      </c>
      <c r="D7" s="10" t="n">
        <f aca="false">SUMIFS(Keywords!$M$2:$M$1355,Keywords!$C$2:$C$1355,$A7,Keywords!$E$2:$E$1355,D$3,Keywords!$Q$2:$Q$1355,"Y")</f>
        <v>0</v>
      </c>
      <c r="E7" s="10" t="n">
        <f aca="false">SUMIFS(Keywords!$M$2:$M$1355,Keywords!$C$2:$C$1355,$A7,Keywords!$E$2:$E$1355,E$3,Keywords!$Q$2:$Q$1355,"Y")</f>
        <v>0</v>
      </c>
      <c r="F7" s="10" t="n">
        <f aca="false">SUMIFS(Keywords!$M$2:$M$1355,Keywords!$C$2:$C$1355,$A7,Keywords!$E$2:$E$1355,F$3,Keywords!$Q$2:$Q$1355,"Y")</f>
        <v>0</v>
      </c>
      <c r="G7" s="9" t="n">
        <f aca="false">COUNTIF(Keywords!$C$2:$C$1355,$A7)</f>
        <v>90</v>
      </c>
      <c r="H7" s="10" t="n">
        <f aca="false">SUMIFS(Keywords!$P$2:$P$1355,Keywords!$C$2:$C$1355,$A7,Keywords!$Q$2:$Q$1355,"Y")</f>
        <v>0</v>
      </c>
    </row>
    <row r="8" customFormat="false" ht="15" hidden="false" customHeight="false" outlineLevel="0" collapsed="false">
      <c r="A8" s="9" t="s">
        <v>434</v>
      </c>
      <c r="B8" s="10" t="n">
        <f aca="false">SUMIFS(Keywords!$M$2:$M$1355,Keywords!$C$2:$C$1355,$A8,Keywords!$E$2:$E$1355,B$3,Keywords!$Q$2:$Q$1355,"Y")</f>
        <v>0</v>
      </c>
      <c r="C8" s="10" t="n">
        <f aca="false">SUMIFS(Keywords!$M$2:$M$1355,Keywords!$C$2:$C$1355,$A8,Keywords!$E$2:$E$1355,C$3,Keywords!$Q$2:$Q$1355,"Y")</f>
        <v>0</v>
      </c>
      <c r="D8" s="10" t="n">
        <f aca="false">SUMIFS(Keywords!$M$2:$M$1355,Keywords!$C$2:$C$1355,$A8,Keywords!$E$2:$E$1355,D$3,Keywords!$Q$2:$Q$1355,"Y")</f>
        <v>0</v>
      </c>
      <c r="E8" s="10" t="n">
        <f aca="false">SUMIFS(Keywords!$M$2:$M$1355,Keywords!$C$2:$C$1355,$A8,Keywords!$E$2:$E$1355,E$3,Keywords!$Q$2:$Q$1355,"Y")</f>
        <v>0</v>
      </c>
      <c r="F8" s="10" t="n">
        <f aca="false">SUMIFS(Keywords!$M$2:$M$1355,Keywords!$C$2:$C$1355,$A8,Keywords!$E$2:$E$1355,F$3,Keywords!$Q$2:$Q$1355,"Y")</f>
        <v>0</v>
      </c>
      <c r="G8" s="9" t="n">
        <f aca="false">COUNTIF(Keywords!$C$2:$C$1355,$A8)</f>
        <v>18</v>
      </c>
      <c r="H8" s="10" t="n">
        <f aca="false">SUMIFS(Keywords!$P$2:$P$1355,Keywords!$C$2:$C$1355,$A8,Keywords!$Q$2:$Q$1355,"Y")</f>
        <v>0</v>
      </c>
    </row>
    <row r="9" customFormat="false" ht="15" hidden="false" customHeight="false" outlineLevel="0" collapsed="false">
      <c r="A9" s="9" t="s">
        <v>57</v>
      </c>
      <c r="B9" s="10" t="n">
        <f aca="false">SUMIFS(Keywords!$M$2:$M$1355,Keywords!$C$2:$C$1355,$A9,Keywords!$E$2:$E$1355,B$3,Keywords!$Q$2:$Q$1355,"Y")</f>
        <v>0</v>
      </c>
      <c r="C9" s="10" t="n">
        <f aca="false">SUMIFS(Keywords!$M$2:$M$1355,Keywords!$C$2:$C$1355,$A9,Keywords!$E$2:$E$1355,C$3,Keywords!$Q$2:$Q$1355,"Y")</f>
        <v>0</v>
      </c>
      <c r="D9" s="10" t="n">
        <f aca="false">SUMIFS(Keywords!$M$2:$M$1355,Keywords!$C$2:$C$1355,$A9,Keywords!$E$2:$E$1355,D$3,Keywords!$Q$2:$Q$1355,"Y")</f>
        <v>0</v>
      </c>
      <c r="E9" s="10" t="n">
        <f aca="false">SUMIFS(Keywords!$M$2:$M$1355,Keywords!$C$2:$C$1355,$A9,Keywords!$E$2:$E$1355,E$3,Keywords!$Q$2:$Q$1355,"Y")</f>
        <v>0</v>
      </c>
      <c r="F9" s="10" t="n">
        <f aca="false">SUMIFS(Keywords!$M$2:$M$1355,Keywords!$C$2:$C$1355,$A9,Keywords!$E$2:$E$1355,F$3,Keywords!$Q$2:$Q$1355,"Y")</f>
        <v>0</v>
      </c>
      <c r="G9" s="9" t="n">
        <f aca="false">COUNTIF(Keywords!$C$2:$C$1355,$A9)</f>
        <v>152</v>
      </c>
      <c r="H9" s="10" t="n">
        <f aca="false">SUMIFS(Keywords!$P$2:$P$1355,Keywords!$C$2:$C$1355,$A9,Keywords!$Q$2:$Q$1355,"Y")</f>
        <v>0</v>
      </c>
    </row>
    <row r="10" customFormat="false" ht="15" hidden="false" customHeight="false" outlineLevel="0" collapsed="false">
      <c r="A10" s="9" t="s">
        <v>456</v>
      </c>
      <c r="B10" s="10" t="n">
        <f aca="false">SUMIFS(Keywords!$M$2:$M$1355,Keywords!$C$2:$C$1355,$A10,Keywords!$E$2:$E$1355,B$3,Keywords!$Q$2:$Q$1355,"Y")</f>
        <v>0</v>
      </c>
      <c r="C10" s="10" t="n">
        <f aca="false">SUMIFS(Keywords!$M$2:$M$1355,Keywords!$C$2:$C$1355,$A10,Keywords!$E$2:$E$1355,C$3,Keywords!$Q$2:$Q$1355,"Y")</f>
        <v>0</v>
      </c>
      <c r="D10" s="10" t="n">
        <f aca="false">SUMIFS(Keywords!$M$2:$M$1355,Keywords!$C$2:$C$1355,$A10,Keywords!$E$2:$E$1355,D$3,Keywords!$Q$2:$Q$1355,"Y")</f>
        <v>0</v>
      </c>
      <c r="E10" s="10" t="n">
        <f aca="false">SUMIFS(Keywords!$M$2:$M$1355,Keywords!$C$2:$C$1355,$A10,Keywords!$E$2:$E$1355,E$3,Keywords!$Q$2:$Q$1355,"Y")</f>
        <v>0</v>
      </c>
      <c r="F10" s="10" t="n">
        <f aca="false">SUMIFS(Keywords!$M$2:$M$1355,Keywords!$C$2:$C$1355,$A10,Keywords!$E$2:$E$1355,F$3,Keywords!$Q$2:$Q$1355,"Y")</f>
        <v>0</v>
      </c>
      <c r="G10" s="9" t="n">
        <f aca="false">COUNTIF(Keywords!$C$2:$C$1355,$A10)</f>
        <v>73</v>
      </c>
      <c r="H10" s="10" t="n">
        <f aca="false">SUMIFS(Keywords!$P$2:$P$1355,Keywords!$C$2:$C$1355,$A10,Keywords!$Q$2:$Q$1355,"Y")</f>
        <v>0</v>
      </c>
    </row>
    <row r="11" customFormat="false" ht="15" hidden="false" customHeight="false" outlineLevel="0" collapsed="false">
      <c r="A11" s="9" t="s">
        <v>464</v>
      </c>
      <c r="B11" s="10" t="n">
        <f aca="false">SUMIFS(Keywords!$M$2:$M$1355,Keywords!$C$2:$C$1355,$A11,Keywords!$E$2:$E$1355,B$3,Keywords!$Q$2:$Q$1355,"Y")</f>
        <v>0</v>
      </c>
      <c r="C11" s="10" t="n">
        <f aca="false">SUMIFS(Keywords!$M$2:$M$1355,Keywords!$C$2:$C$1355,$A11,Keywords!$E$2:$E$1355,C$3,Keywords!$Q$2:$Q$1355,"Y")</f>
        <v>0</v>
      </c>
      <c r="D11" s="10" t="n">
        <f aca="false">SUMIFS(Keywords!$M$2:$M$1355,Keywords!$C$2:$C$1355,$A11,Keywords!$E$2:$E$1355,D$3,Keywords!$Q$2:$Q$1355,"Y")</f>
        <v>0</v>
      </c>
      <c r="E11" s="10" t="n">
        <f aca="false">SUMIFS(Keywords!$M$2:$M$1355,Keywords!$C$2:$C$1355,$A11,Keywords!$E$2:$E$1355,E$3,Keywords!$Q$2:$Q$1355,"Y")</f>
        <v>0</v>
      </c>
      <c r="F11" s="10" t="n">
        <f aca="false">SUMIFS(Keywords!$M$2:$M$1355,Keywords!$C$2:$C$1355,$A11,Keywords!$E$2:$E$1355,F$3,Keywords!$Q$2:$Q$1355,"Y")</f>
        <v>0</v>
      </c>
      <c r="G11" s="9" t="n">
        <f aca="false">COUNTIF(Keywords!$C$2:$C$1355,$A11)</f>
        <v>100</v>
      </c>
      <c r="H11" s="10" t="n">
        <f aca="false">SUMIFS(Keywords!$P$2:$P$1355,Keywords!$C$2:$C$1355,$A11,Keywords!$Q$2:$Q$1355,"Y")</f>
        <v>0</v>
      </c>
    </row>
    <row r="12" customFormat="false" ht="15" hidden="false" customHeight="false" outlineLevel="0" collapsed="false">
      <c r="A12" s="9" t="s">
        <v>64</v>
      </c>
      <c r="B12" s="10" t="n">
        <f aca="false">SUMIFS(Keywords!$M$2:$M$1355,Keywords!$C$2:$C$1355,$A12,Keywords!$E$2:$E$1355,B$3,Keywords!$Q$2:$Q$1355,"Y")</f>
        <v>0</v>
      </c>
      <c r="C12" s="10" t="n">
        <f aca="false">SUMIFS(Keywords!$M$2:$M$1355,Keywords!$C$2:$C$1355,$A12,Keywords!$E$2:$E$1355,C$3,Keywords!$Q$2:$Q$1355,"Y")</f>
        <v>0</v>
      </c>
      <c r="D12" s="10" t="n">
        <f aca="false">SUMIFS(Keywords!$M$2:$M$1355,Keywords!$C$2:$C$1355,$A12,Keywords!$E$2:$E$1355,D$3,Keywords!$Q$2:$Q$1355,"Y")</f>
        <v>0</v>
      </c>
      <c r="E12" s="10" t="n">
        <f aca="false">SUMIFS(Keywords!$M$2:$M$1355,Keywords!$C$2:$C$1355,$A12,Keywords!$E$2:$E$1355,E$3,Keywords!$Q$2:$Q$1355,"Y")</f>
        <v>0</v>
      </c>
      <c r="F12" s="10" t="n">
        <f aca="false">SUMIFS(Keywords!$M$2:$M$1355,Keywords!$C$2:$C$1355,$A12,Keywords!$E$2:$E$1355,F$3,Keywords!$Q$2:$Q$1355,"Y")</f>
        <v>0</v>
      </c>
      <c r="G12" s="9" t="n">
        <f aca="false">COUNTIF(Keywords!$C$2:$C$1355,$A12)</f>
        <v>113</v>
      </c>
      <c r="H12" s="10" t="n">
        <f aca="false">SUMIFS(Keywords!$P$2:$P$1355,Keywords!$C$2:$C$1355,$A12,Keywords!$Q$2:$Q$1355,"Y")</f>
        <v>0</v>
      </c>
    </row>
    <row r="13" customFormat="false" ht="15" hidden="false" customHeight="false" outlineLevel="0" collapsed="false">
      <c r="A13" s="9" t="s">
        <v>61</v>
      </c>
      <c r="B13" s="10" t="n">
        <f aca="false">SUMIFS(Keywords!$M$2:$M$1355,Keywords!$C$2:$C$1355,$A13,Keywords!$E$2:$E$1355,B$3,Keywords!$Q$2:$Q$1355,"Y")</f>
        <v>0</v>
      </c>
      <c r="C13" s="10" t="n">
        <f aca="false">SUMIFS(Keywords!$M$2:$M$1355,Keywords!$C$2:$C$1355,$A13,Keywords!$E$2:$E$1355,C$3,Keywords!$Q$2:$Q$1355,"Y")</f>
        <v>0</v>
      </c>
      <c r="D13" s="10" t="n">
        <f aca="false">SUMIFS(Keywords!$M$2:$M$1355,Keywords!$C$2:$C$1355,$A13,Keywords!$E$2:$E$1355,D$3,Keywords!$Q$2:$Q$1355,"Y")</f>
        <v>0</v>
      </c>
      <c r="E13" s="10" t="n">
        <f aca="false">SUMIFS(Keywords!$M$2:$M$1355,Keywords!$C$2:$C$1355,$A13,Keywords!$E$2:$E$1355,E$3,Keywords!$Q$2:$Q$1355,"Y")</f>
        <v>0</v>
      </c>
      <c r="F13" s="10" t="n">
        <f aca="false">SUMIFS(Keywords!$M$2:$M$1355,Keywords!$C$2:$C$1355,$A13,Keywords!$E$2:$E$1355,F$3,Keywords!$Q$2:$Q$1355,"Y")</f>
        <v>0</v>
      </c>
      <c r="G13" s="9" t="n">
        <f aca="false">COUNTIF(Keywords!$C$2:$C$1355,$A13)</f>
        <v>59</v>
      </c>
      <c r="H13" s="10" t="n">
        <f aca="false">SUMIFS(Keywords!$P$2:$P$1355,Keywords!$C$2:$C$1355,$A13,Keywords!$Q$2:$Q$1355,"Y")</f>
        <v>0</v>
      </c>
    </row>
    <row r="14" customFormat="false" ht="15" hidden="false" customHeight="false" outlineLevel="0" collapsed="false">
      <c r="A14" s="9" t="s">
        <v>66</v>
      </c>
      <c r="B14" s="10" t="n">
        <f aca="false">SUMIFS(Keywords!$M$2:$M$1355,Keywords!$C$2:$C$1355,$A14,Keywords!$E$2:$E$1355,B$3,Keywords!$Q$2:$Q$1355,"Y")</f>
        <v>0</v>
      </c>
      <c r="C14" s="10" t="n">
        <f aca="false">SUMIFS(Keywords!$M$2:$M$1355,Keywords!$C$2:$C$1355,$A14,Keywords!$E$2:$E$1355,C$3,Keywords!$Q$2:$Q$1355,"Y")</f>
        <v>0</v>
      </c>
      <c r="D14" s="10" t="n">
        <f aca="false">SUMIFS(Keywords!$M$2:$M$1355,Keywords!$C$2:$C$1355,$A14,Keywords!$E$2:$E$1355,D$3,Keywords!$Q$2:$Q$1355,"Y")</f>
        <v>0</v>
      </c>
      <c r="E14" s="10" t="n">
        <f aca="false">SUMIFS(Keywords!$M$2:$M$1355,Keywords!$C$2:$C$1355,$A14,Keywords!$E$2:$E$1355,E$3,Keywords!$Q$2:$Q$1355,"Y")</f>
        <v>0</v>
      </c>
      <c r="F14" s="10" t="n">
        <f aca="false">SUMIFS(Keywords!$M$2:$M$1355,Keywords!$C$2:$C$1355,$A14,Keywords!$E$2:$E$1355,F$3,Keywords!$Q$2:$Q$1355,"Y")</f>
        <v>0</v>
      </c>
      <c r="G14" s="9" t="n">
        <f aca="false">COUNTIF(Keywords!$C$2:$C$1355,$A14)</f>
        <v>49</v>
      </c>
      <c r="H14" s="10" t="n">
        <f aca="false">SUMIFS(Keywords!$P$2:$P$1355,Keywords!$C$2:$C$1355,$A14,Keywords!$Q$2:$Q$1355,"Y")</f>
        <v>0</v>
      </c>
    </row>
    <row r="15" customFormat="false" ht="15" hidden="false" customHeight="false" outlineLevel="0" collapsed="false">
      <c r="A15" s="9" t="s">
        <v>69</v>
      </c>
      <c r="B15" s="10" t="n">
        <f aca="false">SUMIFS(Keywords!$M$2:$M$1355,Keywords!$C$2:$C$1355,$A15,Keywords!$E$2:$E$1355,B$3,Keywords!$Q$2:$Q$1355,"Y")</f>
        <v>0</v>
      </c>
      <c r="C15" s="10" t="n">
        <f aca="false">SUMIFS(Keywords!$M$2:$M$1355,Keywords!$C$2:$C$1355,$A15,Keywords!$E$2:$E$1355,C$3,Keywords!$Q$2:$Q$1355,"Y")</f>
        <v>0</v>
      </c>
      <c r="D15" s="10" t="n">
        <f aca="false">SUMIFS(Keywords!$M$2:$M$1355,Keywords!$C$2:$C$1355,$A15,Keywords!$E$2:$E$1355,D$3,Keywords!$Q$2:$Q$1355,"Y")</f>
        <v>0</v>
      </c>
      <c r="E15" s="10" t="n">
        <f aca="false">SUMIFS(Keywords!$M$2:$M$1355,Keywords!$C$2:$C$1355,$A15,Keywords!$E$2:$E$1355,E$3,Keywords!$Q$2:$Q$1355,"Y")</f>
        <v>0</v>
      </c>
      <c r="F15" s="10" t="n">
        <f aca="false">SUMIFS(Keywords!$M$2:$M$1355,Keywords!$C$2:$C$1355,$A15,Keywords!$E$2:$E$1355,F$3,Keywords!$Q$2:$Q$1355,"Y")</f>
        <v>0</v>
      </c>
      <c r="G15" s="9" t="n">
        <f aca="false">COUNTIF(Keywords!$C$2:$C$1355,$A15)</f>
        <v>68</v>
      </c>
      <c r="H15" s="10" t="n">
        <f aca="false">SUMIFS(Keywords!$P$2:$P$1355,Keywords!$C$2:$C$1355,$A15,Keywords!$Q$2:$Q$1355,"Y")</f>
        <v>0</v>
      </c>
    </row>
    <row r="16" customFormat="false" ht="15" hidden="false" customHeight="false" outlineLevel="0" collapsed="false">
      <c r="A16" s="9" t="s">
        <v>74</v>
      </c>
      <c r="B16" s="10" t="n">
        <f aca="false">SUMIFS(Keywords!$M$2:$M$1355,Keywords!$C$2:$C$1355,$A16,Keywords!$E$2:$E$1355,B$3,Keywords!$Q$2:$Q$1355,"Y")</f>
        <v>0</v>
      </c>
      <c r="C16" s="10" t="n">
        <f aca="false">SUMIFS(Keywords!$M$2:$M$1355,Keywords!$C$2:$C$1355,$A16,Keywords!$E$2:$E$1355,C$3,Keywords!$Q$2:$Q$1355,"Y")</f>
        <v>0</v>
      </c>
      <c r="D16" s="10" t="n">
        <f aca="false">SUMIFS(Keywords!$M$2:$M$1355,Keywords!$C$2:$C$1355,$A16,Keywords!$E$2:$E$1355,D$3,Keywords!$Q$2:$Q$1355,"Y")</f>
        <v>0</v>
      </c>
      <c r="E16" s="10" t="n">
        <f aca="false">SUMIFS(Keywords!$M$2:$M$1355,Keywords!$C$2:$C$1355,$A16,Keywords!$E$2:$E$1355,E$3,Keywords!$Q$2:$Q$1355,"Y")</f>
        <v>0</v>
      </c>
      <c r="F16" s="10" t="n">
        <f aca="false">SUMIFS(Keywords!$M$2:$M$1355,Keywords!$C$2:$C$1355,$A16,Keywords!$E$2:$E$1355,F$3,Keywords!$Q$2:$Q$1355,"Y")</f>
        <v>0</v>
      </c>
      <c r="G16" s="9" t="n">
        <f aca="false">COUNTIF(Keywords!$C$2:$C$1355,$A16)</f>
        <v>60</v>
      </c>
      <c r="H16" s="10" t="n">
        <f aca="false">SUMIFS(Keywords!$P$2:$P$1355,Keywords!$C$2:$C$1355,$A16,Keywords!$Q$2:$Q$1355,"Y")</f>
        <v>0</v>
      </c>
    </row>
    <row r="17" customFormat="false" ht="15" hidden="false" customHeight="false" outlineLevel="0" collapsed="false">
      <c r="A17" s="9" t="s">
        <v>78</v>
      </c>
      <c r="B17" s="10" t="n">
        <f aca="false">SUMIFS(Keywords!$M$2:$M$1355,Keywords!$C$2:$C$1355,$A17,Keywords!$E$2:$E$1355,B$3,Keywords!$Q$2:$Q$1355,"Y")</f>
        <v>0</v>
      </c>
      <c r="C17" s="10" t="n">
        <f aca="false">SUMIFS(Keywords!$M$2:$M$1355,Keywords!$C$2:$C$1355,$A17,Keywords!$E$2:$E$1355,C$3,Keywords!$Q$2:$Q$1355,"Y")</f>
        <v>0</v>
      </c>
      <c r="D17" s="10" t="n">
        <f aca="false">SUMIFS(Keywords!$M$2:$M$1355,Keywords!$C$2:$C$1355,$A17,Keywords!$E$2:$E$1355,D$3,Keywords!$Q$2:$Q$1355,"Y")</f>
        <v>0</v>
      </c>
      <c r="E17" s="10" t="n">
        <f aca="false">SUMIFS(Keywords!$M$2:$M$1355,Keywords!$C$2:$C$1355,$A17,Keywords!$E$2:$E$1355,E$3,Keywords!$Q$2:$Q$1355,"Y")</f>
        <v>0</v>
      </c>
      <c r="F17" s="10" t="n">
        <f aca="false">SUMIFS(Keywords!$M$2:$M$1355,Keywords!$C$2:$C$1355,$A17,Keywords!$E$2:$E$1355,F$3,Keywords!$Q$2:$Q$1355,"Y")</f>
        <v>0</v>
      </c>
      <c r="G17" s="9" t="n">
        <f aca="false">COUNTIF(Keywords!$C$2:$C$1355,$A17)</f>
        <v>30</v>
      </c>
      <c r="H17" s="10" t="n">
        <f aca="false">SUMIFS(Keywords!$P$2:$P$1355,Keywords!$C$2:$C$1355,$A17,Keywords!$Q$2:$Q$1355,"Y")</f>
        <v>0</v>
      </c>
    </row>
    <row r="18" customFormat="false" ht="15" hidden="false" customHeight="false" outlineLevel="0" collapsed="false">
      <c r="A18" s="9" t="s">
        <v>548</v>
      </c>
      <c r="B18" s="10" t="n">
        <f aca="false">SUMIFS(Keywords!$M$2:$M$1355,Keywords!$C$2:$C$1355,$A18,Keywords!$E$2:$E$1355,B$3,Keywords!$Q$2:$Q$1355,"Y")</f>
        <v>0</v>
      </c>
      <c r="C18" s="10" t="n">
        <f aca="false">SUMIFS(Keywords!$M$2:$M$1355,Keywords!$C$2:$C$1355,$A18,Keywords!$E$2:$E$1355,C$3,Keywords!$Q$2:$Q$1355,"Y")</f>
        <v>0</v>
      </c>
      <c r="D18" s="10" t="n">
        <f aca="false">SUMIFS(Keywords!$M$2:$M$1355,Keywords!$C$2:$C$1355,$A18,Keywords!$E$2:$E$1355,D$3,Keywords!$Q$2:$Q$1355,"Y")</f>
        <v>0</v>
      </c>
      <c r="E18" s="10" t="n">
        <f aca="false">SUMIFS(Keywords!$M$2:$M$1355,Keywords!$C$2:$C$1355,$A18,Keywords!$E$2:$E$1355,E$3,Keywords!$Q$2:$Q$1355,"Y")</f>
        <v>0</v>
      </c>
      <c r="F18" s="10" t="n">
        <f aca="false">SUMIFS(Keywords!$M$2:$M$1355,Keywords!$C$2:$C$1355,$A18,Keywords!$E$2:$E$1355,F$3,Keywords!$Q$2:$Q$1355,"Y")</f>
        <v>0</v>
      </c>
      <c r="G18" s="9" t="n">
        <f aca="false">COUNTIF(Keywords!$C$2:$C$1355,$A18)</f>
        <v>7</v>
      </c>
      <c r="H18" s="10" t="n">
        <f aca="false">SUMIFS(Keywords!$P$2:$P$1355,Keywords!$C$2:$C$1355,$A18,Keywords!$Q$2:$Q$1355,"Y")</f>
        <v>0</v>
      </c>
    </row>
    <row r="19" customFormat="false" ht="15" hidden="false" customHeight="false" outlineLevel="0" collapsed="false">
      <c r="A19" s="9" t="s">
        <v>488</v>
      </c>
      <c r="B19" s="10" t="n">
        <f aca="false">SUMIFS(Keywords!$M$2:$M$1355,Keywords!$C$2:$C$1355,$A19,Keywords!$E$2:$E$1355,B$3,Keywords!$Q$2:$Q$1355,"Y")</f>
        <v>0</v>
      </c>
      <c r="C19" s="10" t="n">
        <f aca="false">SUMIFS(Keywords!$M$2:$M$1355,Keywords!$C$2:$C$1355,$A19,Keywords!$E$2:$E$1355,C$3,Keywords!$Q$2:$Q$1355,"Y")</f>
        <v>0</v>
      </c>
      <c r="D19" s="10" t="n">
        <f aca="false">SUMIFS(Keywords!$M$2:$M$1355,Keywords!$C$2:$C$1355,$A19,Keywords!$E$2:$E$1355,D$3,Keywords!$Q$2:$Q$1355,"Y")</f>
        <v>0</v>
      </c>
      <c r="E19" s="10" t="n">
        <f aca="false">SUMIFS(Keywords!$M$2:$M$1355,Keywords!$C$2:$C$1355,$A19,Keywords!$E$2:$E$1355,E$3,Keywords!$Q$2:$Q$1355,"Y")</f>
        <v>0</v>
      </c>
      <c r="F19" s="10" t="n">
        <f aca="false">SUMIFS(Keywords!$M$2:$M$1355,Keywords!$C$2:$C$1355,$A19,Keywords!$E$2:$E$1355,F$3,Keywords!$Q$2:$Q$1355,"Y")</f>
        <v>0</v>
      </c>
      <c r="G19" s="9" t="n">
        <f aca="false">COUNTIF(Keywords!$C$2:$C$1355,$A19)</f>
        <v>5</v>
      </c>
      <c r="H19" s="10" t="n">
        <f aca="false">SUMIFS(Keywords!$P$2:$P$1355,Keywords!$C$2:$C$1355,$A19,Keywords!$Q$2:$Q$1355,"Y")</f>
        <v>0</v>
      </c>
    </row>
    <row r="20" customFormat="false" ht="15" hidden="false" customHeight="false" outlineLevel="0" collapsed="false">
      <c r="A20" s="9" t="s">
        <v>496</v>
      </c>
      <c r="B20" s="10" t="n">
        <f aca="false">SUMIFS(Keywords!$M$2:$M$1355,Keywords!$C$2:$C$1355,$A20,Keywords!$E$2:$E$1355,B$3,Keywords!$Q$2:$Q$1355,"Y")</f>
        <v>0</v>
      </c>
      <c r="C20" s="10" t="n">
        <f aca="false">SUMIFS(Keywords!$M$2:$M$1355,Keywords!$C$2:$C$1355,$A20,Keywords!$E$2:$E$1355,C$3,Keywords!$Q$2:$Q$1355,"Y")</f>
        <v>0</v>
      </c>
      <c r="D20" s="10" t="n">
        <f aca="false">SUMIFS(Keywords!$M$2:$M$1355,Keywords!$C$2:$C$1355,$A20,Keywords!$E$2:$E$1355,D$3,Keywords!$Q$2:$Q$1355,"Y")</f>
        <v>0</v>
      </c>
      <c r="E20" s="10" t="n">
        <f aca="false">SUMIFS(Keywords!$M$2:$M$1355,Keywords!$C$2:$C$1355,$A20,Keywords!$E$2:$E$1355,E$3,Keywords!$Q$2:$Q$1355,"Y")</f>
        <v>0</v>
      </c>
      <c r="F20" s="10" t="n">
        <f aca="false">SUMIFS(Keywords!$M$2:$M$1355,Keywords!$C$2:$C$1355,$A20,Keywords!$E$2:$E$1355,F$3,Keywords!$Q$2:$Q$1355,"Y")</f>
        <v>0</v>
      </c>
      <c r="G20" s="9" t="n">
        <f aca="false">COUNTIF(Keywords!$C$2:$C$1355,$A20)</f>
        <v>5</v>
      </c>
      <c r="H20" s="10" t="n">
        <f aca="false">SUMIFS(Keywords!$P$2:$P$1355,Keywords!$C$2:$C$1355,$A20,Keywords!$Q$2:$Q$1355,"Y")</f>
        <v>0</v>
      </c>
    </row>
    <row r="21" customFormat="false" ht="15" hidden="false" customHeight="false" outlineLevel="0" collapsed="false">
      <c r="A21" s="9" t="s">
        <v>503</v>
      </c>
      <c r="B21" s="10" t="n">
        <f aca="false">SUMIFS(Keywords!$M$2:$M$1355,Keywords!$C$2:$C$1355,$A21,Keywords!$E$2:$E$1355,B$3,Keywords!$Q$2:$Q$1355,"Y")</f>
        <v>0</v>
      </c>
      <c r="C21" s="10" t="n">
        <f aca="false">SUMIFS(Keywords!$M$2:$M$1355,Keywords!$C$2:$C$1355,$A21,Keywords!$E$2:$E$1355,C$3,Keywords!$Q$2:$Q$1355,"Y")</f>
        <v>0</v>
      </c>
      <c r="D21" s="10" t="n">
        <f aca="false">SUMIFS(Keywords!$M$2:$M$1355,Keywords!$C$2:$C$1355,$A21,Keywords!$E$2:$E$1355,D$3,Keywords!$Q$2:$Q$1355,"Y")</f>
        <v>0</v>
      </c>
      <c r="E21" s="10" t="n">
        <f aca="false">SUMIFS(Keywords!$M$2:$M$1355,Keywords!$C$2:$C$1355,$A21,Keywords!$E$2:$E$1355,E$3,Keywords!$Q$2:$Q$1355,"Y")</f>
        <v>0</v>
      </c>
      <c r="F21" s="10" t="n">
        <f aca="false">SUMIFS(Keywords!$M$2:$M$1355,Keywords!$C$2:$C$1355,$A21,Keywords!$E$2:$E$1355,F$3,Keywords!$Q$2:$Q$1355,"Y")</f>
        <v>0</v>
      </c>
      <c r="G21" s="9" t="n">
        <f aca="false">COUNTIF(Keywords!$C$2:$C$1355,$A21)</f>
        <v>1</v>
      </c>
      <c r="H21" s="10" t="n">
        <f aca="false">SUMIFS(Keywords!$P$2:$P$1355,Keywords!$C$2:$C$1355,$A21,Keywords!$Q$2:$Q$1355,"Y")</f>
        <v>0</v>
      </c>
    </row>
    <row r="22" customFormat="false" ht="15" hidden="false" customHeight="false" outlineLevel="0" collapsed="false">
      <c r="A22" s="9" t="s">
        <v>505</v>
      </c>
      <c r="B22" s="10" t="n">
        <f aca="false">SUMIFS(Keywords!$M$2:$M$1355,Keywords!$C$2:$C$1355,$A22,Keywords!$E$2:$E$1355,B$3,Keywords!$Q$2:$Q$1355,"Y")</f>
        <v>0</v>
      </c>
      <c r="C22" s="10" t="n">
        <f aca="false">SUMIFS(Keywords!$M$2:$M$1355,Keywords!$C$2:$C$1355,$A22,Keywords!$E$2:$E$1355,C$3,Keywords!$Q$2:$Q$1355,"Y")</f>
        <v>0</v>
      </c>
      <c r="D22" s="10" t="n">
        <f aca="false">SUMIFS(Keywords!$M$2:$M$1355,Keywords!$C$2:$C$1355,$A22,Keywords!$E$2:$E$1355,D$3,Keywords!$Q$2:$Q$1355,"Y")</f>
        <v>0</v>
      </c>
      <c r="E22" s="10" t="n">
        <f aca="false">SUMIFS(Keywords!$M$2:$M$1355,Keywords!$C$2:$C$1355,$A22,Keywords!$E$2:$E$1355,E$3,Keywords!$Q$2:$Q$1355,"Y")</f>
        <v>0</v>
      </c>
      <c r="F22" s="10" t="n">
        <f aca="false">SUMIFS(Keywords!$M$2:$M$1355,Keywords!$C$2:$C$1355,$A22,Keywords!$E$2:$E$1355,F$3,Keywords!$Q$2:$Q$1355,"Y")</f>
        <v>0</v>
      </c>
      <c r="G22" s="9" t="n">
        <f aca="false">COUNTIF(Keywords!$C$2:$C$1355,$A22)</f>
        <v>4</v>
      </c>
      <c r="H22" s="10" t="n">
        <f aca="false">SUMIFS(Keywords!$P$2:$P$1355,Keywords!$C$2:$C$1355,$A22,Keywords!$Q$2:$Q$1355,"Y")</f>
        <v>0</v>
      </c>
    </row>
    <row r="23" customFormat="false" ht="15" hidden="false" customHeight="false" outlineLevel="0" collapsed="false">
      <c r="A23" s="9" t="s">
        <v>511</v>
      </c>
      <c r="B23" s="10" t="n">
        <f aca="false">SUMIFS(Keywords!$M$2:$M$1355,Keywords!$C$2:$C$1355,$A23,Keywords!$E$2:$E$1355,B$3,Keywords!$Q$2:$Q$1355,"Y")</f>
        <v>0</v>
      </c>
      <c r="C23" s="10" t="n">
        <f aca="false">SUMIFS(Keywords!$M$2:$M$1355,Keywords!$C$2:$C$1355,$A23,Keywords!$E$2:$E$1355,C$3,Keywords!$Q$2:$Q$1355,"Y")</f>
        <v>0</v>
      </c>
      <c r="D23" s="10" t="n">
        <f aca="false">SUMIFS(Keywords!$M$2:$M$1355,Keywords!$C$2:$C$1355,$A23,Keywords!$E$2:$E$1355,D$3,Keywords!$Q$2:$Q$1355,"Y")</f>
        <v>0</v>
      </c>
      <c r="E23" s="10" t="n">
        <f aca="false">SUMIFS(Keywords!$M$2:$M$1355,Keywords!$C$2:$C$1355,$A23,Keywords!$E$2:$E$1355,E$3,Keywords!$Q$2:$Q$1355,"Y")</f>
        <v>0</v>
      </c>
      <c r="F23" s="10" t="n">
        <f aca="false">SUMIFS(Keywords!$M$2:$M$1355,Keywords!$C$2:$C$1355,$A23,Keywords!$E$2:$E$1355,F$3,Keywords!$Q$2:$Q$1355,"Y")</f>
        <v>0</v>
      </c>
      <c r="G23" s="9" t="n">
        <f aca="false">COUNTIF(Keywords!$C$2:$C$1355,$A23)</f>
        <v>1</v>
      </c>
      <c r="H23" s="10" t="n">
        <f aca="false">SUMIFS(Keywords!$P$2:$P$1355,Keywords!$C$2:$C$1355,$A23,Keywords!$Q$2:$Q$1355,"Y")</f>
        <v>0</v>
      </c>
    </row>
    <row r="24" customFormat="false" ht="15" hidden="false" customHeight="false" outlineLevel="0" collapsed="false">
      <c r="A24" s="9" t="s">
        <v>514</v>
      </c>
      <c r="B24" s="10" t="n">
        <f aca="false">SUMIFS(Keywords!$M$2:$M$1355,Keywords!$C$2:$C$1355,$A24,Keywords!$E$2:$E$1355,B$3,Keywords!$Q$2:$Q$1355,"Y")</f>
        <v>0</v>
      </c>
      <c r="C24" s="10" t="n">
        <f aca="false">SUMIFS(Keywords!$M$2:$M$1355,Keywords!$C$2:$C$1355,$A24,Keywords!$E$2:$E$1355,C$3,Keywords!$Q$2:$Q$1355,"Y")</f>
        <v>0</v>
      </c>
      <c r="D24" s="10" t="n">
        <f aca="false">SUMIFS(Keywords!$M$2:$M$1355,Keywords!$C$2:$C$1355,$A24,Keywords!$E$2:$E$1355,D$3,Keywords!$Q$2:$Q$1355,"Y")</f>
        <v>0</v>
      </c>
      <c r="E24" s="10" t="n">
        <f aca="false">SUMIFS(Keywords!$M$2:$M$1355,Keywords!$C$2:$C$1355,$A24,Keywords!$E$2:$E$1355,E$3,Keywords!$Q$2:$Q$1355,"Y")</f>
        <v>0</v>
      </c>
      <c r="F24" s="10" t="n">
        <f aca="false">SUMIFS(Keywords!$M$2:$M$1355,Keywords!$C$2:$C$1355,$A24,Keywords!$E$2:$E$1355,F$3,Keywords!$Q$2:$Q$1355,"Y")</f>
        <v>0</v>
      </c>
      <c r="G24" s="9" t="n">
        <f aca="false">COUNTIF(Keywords!$C$2:$C$1355,$A24)</f>
        <v>2</v>
      </c>
      <c r="H24" s="10" t="n">
        <f aca="false">SUMIFS(Keywords!$P$2:$P$1355,Keywords!$C$2:$C$1355,$A24,Keywords!$Q$2:$Q$1355,"Y")</f>
        <v>0</v>
      </c>
    </row>
    <row r="25" customFormat="false" ht="15" hidden="false" customHeight="false" outlineLevel="0" collapsed="false">
      <c r="A25" s="9" t="s">
        <v>589</v>
      </c>
      <c r="B25" s="10" t="n">
        <f aca="false">SUMIFS(Keywords!$M$2:$M$1355,Keywords!$C$2:$C$1355,$A25,Keywords!$E$2:$E$1355,B$3,Keywords!$Q$2:$Q$1355,"Y")</f>
        <v>0</v>
      </c>
      <c r="C25" s="10" t="n">
        <f aca="false">SUMIFS(Keywords!$M$2:$M$1355,Keywords!$C$2:$C$1355,$A25,Keywords!$E$2:$E$1355,C$3,Keywords!$Q$2:$Q$1355,"Y")</f>
        <v>0</v>
      </c>
      <c r="D25" s="10" t="n">
        <f aca="false">SUMIFS(Keywords!$M$2:$M$1355,Keywords!$C$2:$C$1355,$A25,Keywords!$E$2:$E$1355,D$3,Keywords!$Q$2:$Q$1355,"Y")</f>
        <v>0</v>
      </c>
      <c r="E25" s="10" t="n">
        <f aca="false">SUMIFS(Keywords!$M$2:$M$1355,Keywords!$C$2:$C$1355,$A25,Keywords!$E$2:$E$1355,E$3,Keywords!$Q$2:$Q$1355,"Y")</f>
        <v>0</v>
      </c>
      <c r="F25" s="10" t="n">
        <f aca="false">SUMIFS(Keywords!$M$2:$M$1355,Keywords!$C$2:$C$1355,$A25,Keywords!$E$2:$E$1355,F$3,Keywords!$Q$2:$Q$1355,"Y")</f>
        <v>0</v>
      </c>
      <c r="G25" s="9" t="n">
        <f aca="false">COUNTIF(Keywords!$C$2:$C$1355,$A25)</f>
        <v>5</v>
      </c>
      <c r="H25" s="10" t="n">
        <f aca="false">SUMIFS(Keywords!$P$2:$P$1355,Keywords!$C$2:$C$1355,$A25,Keywords!$Q$2:$Q$1355,"Y")</f>
        <v>0</v>
      </c>
    </row>
    <row r="26" customFormat="false" ht="15" hidden="false" customHeight="false" outlineLevel="0" collapsed="false">
      <c r="A26" s="11" t="s">
        <v>1504</v>
      </c>
      <c r="B26" s="12" t="n">
        <f aca="false">SUM(B4:B25)</f>
        <v>0</v>
      </c>
      <c r="C26" s="12" t="n">
        <f aca="false">SUM(C4:C25)</f>
        <v>0</v>
      </c>
      <c r="D26" s="12" t="n">
        <f aca="false">SUM(D4:D25)</f>
        <v>0</v>
      </c>
      <c r="E26" s="12" t="n">
        <f aca="false">SUM(E4:E25)</f>
        <v>0</v>
      </c>
      <c r="F26" s="12" t="n">
        <f aca="false">SUM(F4:F25)</f>
        <v>0</v>
      </c>
      <c r="G26" s="12" t="n">
        <f aca="false">SUM(G4:G25)</f>
        <v>1354</v>
      </c>
      <c r="H26" s="12" t="n">
        <f aca="false">SUM(H4:H25)</f>
        <v>0</v>
      </c>
    </row>
    <row r="29" customFormat="false" ht="15" hidden="false" customHeight="false" outlineLevel="0" collapsed="false">
      <c r="A29" s="7" t="s">
        <v>1505</v>
      </c>
    </row>
    <row r="30" customFormat="false" ht="15" hidden="false" customHeight="false" outlineLevel="0" collapsed="false">
      <c r="A30" s="8" t="s">
        <v>22</v>
      </c>
      <c r="B30" s="8" t="s">
        <v>1506</v>
      </c>
      <c r="C30" s="8" t="s">
        <v>1507</v>
      </c>
    </row>
    <row r="31" customFormat="false" ht="15" hidden="false" customHeight="false" outlineLevel="0" collapsed="false">
      <c r="A31" s="9" t="s">
        <v>38</v>
      </c>
      <c r="B31" s="10" t="n">
        <f aca="false">SUMIFS(Keywords!$M$2:$M$1355,Keywords!$F$2:$F$1355,$A31,Keywords!$Q$2:$Q$1355,"Y")</f>
        <v>0</v>
      </c>
      <c r="C31" s="9" t="n">
        <f aca="false">COUNTIF(Keywords!$F$2:$F$1355,$A31)</f>
        <v>18</v>
      </c>
    </row>
    <row r="32" customFormat="false" ht="15" hidden="false" customHeight="false" outlineLevel="0" collapsed="false">
      <c r="A32" s="9" t="s">
        <v>81</v>
      </c>
      <c r="B32" s="10" t="n">
        <f aca="false">SUMIFS(Keywords!$M$2:$M$1355,Keywords!$F$2:$F$1355,$A32,Keywords!$Q$2:$Q$1355,"Y")</f>
        <v>0</v>
      </c>
      <c r="C32" s="9" t="n">
        <f aca="false">COUNTIF(Keywords!$F$2:$F$1355,$A32)</f>
        <v>18</v>
      </c>
    </row>
    <row r="33" customFormat="false" ht="15" hidden="false" customHeight="false" outlineLevel="0" collapsed="false">
      <c r="A33" s="9" t="s">
        <v>100</v>
      </c>
      <c r="B33" s="10" t="n">
        <f aca="false">SUMIFS(Keywords!$M$2:$M$1355,Keywords!$F$2:$F$1355,$A33,Keywords!$Q$2:$Q$1355,"Y")</f>
        <v>0</v>
      </c>
      <c r="C33" s="9" t="n">
        <f aca="false">COUNTIF(Keywords!$F$2:$F$1355,$A33)</f>
        <v>18</v>
      </c>
    </row>
    <row r="34" customFormat="false" ht="15" hidden="false" customHeight="false" outlineLevel="0" collapsed="false">
      <c r="A34" s="9" t="s">
        <v>119</v>
      </c>
      <c r="B34" s="10" t="n">
        <f aca="false">SUMIFS(Keywords!$M$2:$M$1355,Keywords!$F$2:$F$1355,$A34,Keywords!$Q$2:$Q$1355,"Y")</f>
        <v>0</v>
      </c>
      <c r="C34" s="9" t="n">
        <f aca="false">COUNTIF(Keywords!$F$2:$F$1355,$A34)</f>
        <v>36</v>
      </c>
    </row>
    <row r="35" customFormat="false" ht="15" hidden="false" customHeight="false" outlineLevel="0" collapsed="false">
      <c r="A35" s="9" t="s">
        <v>158</v>
      </c>
      <c r="B35" s="10" t="n">
        <f aca="false">SUMIFS(Keywords!$M$2:$M$1355,Keywords!$F$2:$F$1355,$A35,Keywords!$Q$2:$Q$1355,"Y")</f>
        <v>0</v>
      </c>
      <c r="C35" s="9" t="n">
        <f aca="false">COUNTIF(Keywords!$F$2:$F$1355,$A35)</f>
        <v>18</v>
      </c>
    </row>
    <row r="36" customFormat="false" ht="15" hidden="false" customHeight="false" outlineLevel="0" collapsed="false">
      <c r="A36" s="9" t="s">
        <v>177</v>
      </c>
      <c r="B36" s="10" t="n">
        <f aca="false">SUMIFS(Keywords!$M$2:$M$1355,Keywords!$F$2:$F$1355,$A36,Keywords!$Q$2:$Q$1355,"Y")</f>
        <v>0</v>
      </c>
      <c r="C36" s="9" t="n">
        <f aca="false">COUNTIF(Keywords!$F$2:$F$1355,$A36)</f>
        <v>36</v>
      </c>
    </row>
    <row r="37" customFormat="false" ht="15" hidden="false" customHeight="false" outlineLevel="0" collapsed="false">
      <c r="A37" s="9" t="s">
        <v>214</v>
      </c>
      <c r="B37" s="10" t="n">
        <f aca="false">SUMIFS(Keywords!$M$2:$M$1355,Keywords!$F$2:$F$1355,$A37,Keywords!$Q$2:$Q$1355,"Y")</f>
        <v>0</v>
      </c>
      <c r="C37" s="9" t="n">
        <f aca="false">COUNTIF(Keywords!$F$2:$F$1355,$A37)</f>
        <v>18</v>
      </c>
    </row>
    <row r="38" customFormat="false" ht="15" hidden="false" customHeight="false" outlineLevel="0" collapsed="false">
      <c r="A38" s="9" t="s">
        <v>233</v>
      </c>
      <c r="B38" s="10" t="n">
        <f aca="false">SUMIFS(Keywords!$M$2:$M$1355,Keywords!$F$2:$F$1355,$A38,Keywords!$Q$2:$Q$1355,"Y")</f>
        <v>0</v>
      </c>
      <c r="C38" s="9" t="n">
        <f aca="false">COUNTIF(Keywords!$F$2:$F$1355,$A38)</f>
        <v>18</v>
      </c>
    </row>
    <row r="39" customFormat="false" ht="15" hidden="false" customHeight="false" outlineLevel="0" collapsed="false">
      <c r="A39" s="9" t="s">
        <v>252</v>
      </c>
      <c r="B39" s="10" t="n">
        <f aca="false">SUMIFS(Keywords!$M$2:$M$1355,Keywords!$F$2:$F$1355,$A39,Keywords!$Q$2:$Q$1355,"Y")</f>
        <v>0</v>
      </c>
      <c r="C39" s="9" t="n">
        <f aca="false">COUNTIF(Keywords!$F$2:$F$1355,$A39)</f>
        <v>18</v>
      </c>
    </row>
    <row r="40" customFormat="false" ht="15" hidden="false" customHeight="false" outlineLevel="0" collapsed="false">
      <c r="A40" s="9" t="s">
        <v>271</v>
      </c>
      <c r="B40" s="10" t="n">
        <f aca="false">SUMIFS(Keywords!$M$2:$M$1355,Keywords!$F$2:$F$1355,$A40,Keywords!$Q$2:$Q$1355,"Y")</f>
        <v>0</v>
      </c>
      <c r="C40" s="9" t="n">
        <f aca="false">COUNTIF(Keywords!$F$2:$F$1355,$A40)</f>
        <v>18</v>
      </c>
    </row>
    <row r="41" customFormat="false" ht="15" hidden="false" customHeight="false" outlineLevel="0" collapsed="false">
      <c r="A41" s="9" t="s">
        <v>290</v>
      </c>
      <c r="B41" s="10" t="n">
        <f aca="false">SUMIFS(Keywords!$M$2:$M$1355,Keywords!$F$2:$F$1355,$A41,Keywords!$Q$2:$Q$1355,"Y")</f>
        <v>0</v>
      </c>
      <c r="C41" s="9" t="n">
        <f aca="false">COUNTIF(Keywords!$F$2:$F$1355,$A41)</f>
        <v>18</v>
      </c>
    </row>
    <row r="42" customFormat="false" ht="15" hidden="false" customHeight="false" outlineLevel="0" collapsed="false">
      <c r="A42" s="9" t="s">
        <v>309</v>
      </c>
      <c r="B42" s="10" t="n">
        <f aca="false">SUMIFS(Keywords!$M$2:$M$1355,Keywords!$F$2:$F$1355,$A42,Keywords!$Q$2:$Q$1355,"Y")</f>
        <v>0</v>
      </c>
      <c r="C42" s="9" t="n">
        <f aca="false">COUNTIF(Keywords!$F$2:$F$1355,$A42)</f>
        <v>18</v>
      </c>
    </row>
    <row r="43" customFormat="false" ht="15" hidden="false" customHeight="false" outlineLevel="0" collapsed="false">
      <c r="A43" s="9" t="s">
        <v>328</v>
      </c>
      <c r="B43" s="10" t="n">
        <f aca="false">SUMIFS(Keywords!$M$2:$M$1355,Keywords!$F$2:$F$1355,$A43,Keywords!$Q$2:$Q$1355,"Y")</f>
        <v>0</v>
      </c>
      <c r="C43" s="9" t="n">
        <f aca="false">COUNTIF(Keywords!$F$2:$F$1355,$A43)</f>
        <v>18</v>
      </c>
    </row>
    <row r="44" customFormat="false" ht="15" hidden="false" customHeight="false" outlineLevel="0" collapsed="false">
      <c r="A44" s="9" t="s">
        <v>347</v>
      </c>
      <c r="B44" s="10" t="n">
        <f aca="false">SUMIFS(Keywords!$M$2:$M$1355,Keywords!$F$2:$F$1355,$A44,Keywords!$Q$2:$Q$1355,"Y")</f>
        <v>0</v>
      </c>
      <c r="C44" s="9" t="n">
        <f aca="false">COUNTIF(Keywords!$F$2:$F$1355,$A44)</f>
        <v>18</v>
      </c>
    </row>
    <row r="45" customFormat="false" ht="15" hidden="false" customHeight="false" outlineLevel="0" collapsed="false">
      <c r="A45" s="9" t="s">
        <v>366</v>
      </c>
      <c r="B45" s="10" t="n">
        <f aca="false">SUMIFS(Keywords!$M$2:$M$1355,Keywords!$F$2:$F$1355,$A45,Keywords!$Q$2:$Q$1355,"Y")</f>
        <v>0</v>
      </c>
      <c r="C45" s="9" t="n">
        <f aca="false">COUNTIF(Keywords!$F$2:$F$1355,$A45)</f>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40"/>
    <col collapsed="false" customWidth="true" hidden="false" outlineLevel="0" max="4" min="4" style="0" width="11"/>
    <col collapsed="false" customWidth="true" hidden="false" outlineLevel="0" max="5" min="5" style="0" width="12"/>
    <col collapsed="false" customWidth="true" hidden="false" outlineLevel="0" max="6" min="6" style="0" width="60"/>
    <col collapsed="false" customWidth="true" hidden="false" outlineLevel="0" max="7" min="7" style="0" width="45"/>
    <col collapsed="false" customWidth="true" hidden="false" outlineLevel="0" max="8" min="8" style="0" width="40"/>
    <col collapsed="false" customWidth="true" hidden="false" outlineLevel="0" max="9" min="9" style="0" width="22"/>
    <col collapsed="false" customWidth="true" hidden="false" outlineLevel="0" max="10" min="10" style="0" width="12"/>
  </cols>
  <sheetData>
    <row r="1" customFormat="false" ht="23.85" hidden="false" customHeight="false" outlineLevel="0" collapsed="false">
      <c r="A1" s="4" t="s">
        <v>21</v>
      </c>
      <c r="B1" s="4" t="s">
        <v>1508</v>
      </c>
      <c r="C1" s="4" t="s">
        <v>22</v>
      </c>
      <c r="D1" s="4" t="s">
        <v>1509</v>
      </c>
      <c r="E1" s="4" t="s">
        <v>1510</v>
      </c>
      <c r="F1" s="4" t="s">
        <v>1511</v>
      </c>
      <c r="G1" s="4" t="s">
        <v>1512</v>
      </c>
      <c r="H1" s="4" t="s">
        <v>1513</v>
      </c>
      <c r="I1" s="4" t="s">
        <v>26</v>
      </c>
      <c r="J1" s="4" t="s">
        <v>1514</v>
      </c>
    </row>
    <row r="2" customFormat="false" ht="35.05" hidden="false" customHeight="false" outlineLevel="0" collapsed="false">
      <c r="A2" s="13" t="s">
        <v>656</v>
      </c>
      <c r="B2" s="13" t="s">
        <v>1515</v>
      </c>
      <c r="C2" s="13" t="s">
        <v>657</v>
      </c>
      <c r="D2" s="13" t="n">
        <f aca="false">COUNTIF(Keywords!$F$2:$F$1355,C2)</f>
        <v>52</v>
      </c>
      <c r="E2" s="13" t="n">
        <f aca="false">SUMIFS(Keywords!$M$2:$M$1355,Keywords!$F$2:$F$1355,C2,Keywords!$Q$2:$Q$1355,"Y")</f>
        <v>0</v>
      </c>
      <c r="F2" s="13" t="s">
        <v>1516</v>
      </c>
      <c r="G2" s="13" t="s">
        <v>1517</v>
      </c>
      <c r="H2" s="13" t="s">
        <v>1518</v>
      </c>
      <c r="I2" s="13" t="s">
        <v>1519</v>
      </c>
      <c r="J2" s="13" t="s">
        <v>1520</v>
      </c>
    </row>
    <row r="3" customFormat="false" ht="23.85" hidden="false" customHeight="false" outlineLevel="0" collapsed="false">
      <c r="A3" s="13" t="s">
        <v>656</v>
      </c>
      <c r="B3" s="13" t="s">
        <v>1521</v>
      </c>
      <c r="C3" s="13" t="s">
        <v>712</v>
      </c>
      <c r="D3" s="13" t="n">
        <f aca="false">COUNTIF(Keywords!$F$2:$F$1355,C3)</f>
        <v>26</v>
      </c>
      <c r="E3" s="13" t="n">
        <f aca="false">SUMIFS(Keywords!$M$2:$M$1355,Keywords!$F$2:$F$1355,C3,Keywords!$Q$2:$Q$1355,"Y")</f>
        <v>0</v>
      </c>
      <c r="F3" s="13" t="s">
        <v>1522</v>
      </c>
      <c r="G3" s="13" t="s">
        <v>1523</v>
      </c>
      <c r="H3" s="13" t="s">
        <v>1524</v>
      </c>
      <c r="I3" s="13" t="s">
        <v>1525</v>
      </c>
      <c r="J3" s="13" t="s">
        <v>1526</v>
      </c>
    </row>
    <row r="4" customFormat="false" ht="23.85" hidden="false" customHeight="false" outlineLevel="0" collapsed="false">
      <c r="A4" s="13" t="s">
        <v>656</v>
      </c>
      <c r="B4" s="13" t="s">
        <v>1527</v>
      </c>
      <c r="C4" s="13" t="s">
        <v>739</v>
      </c>
      <c r="D4" s="13" t="n">
        <f aca="false">COUNTIF(Keywords!$F$2:$F$1355,C4)</f>
        <v>26</v>
      </c>
      <c r="E4" s="13" t="n">
        <f aca="false">SUMIFS(Keywords!$M$2:$M$1355,Keywords!$F$2:$F$1355,C4,Keywords!$Q$2:$Q$1355,"Y")</f>
        <v>0</v>
      </c>
      <c r="F4" s="13" t="s">
        <v>1528</v>
      </c>
      <c r="G4" s="13" t="s">
        <v>1529</v>
      </c>
      <c r="H4" s="13" t="s">
        <v>1530</v>
      </c>
      <c r="I4" s="13" t="s">
        <v>1531</v>
      </c>
      <c r="J4" s="13" t="s">
        <v>1526</v>
      </c>
    </row>
    <row r="5" customFormat="false" ht="23.85" hidden="false" customHeight="false" outlineLevel="0" collapsed="false">
      <c r="A5" s="13" t="s">
        <v>656</v>
      </c>
      <c r="B5" s="13" t="s">
        <v>1532</v>
      </c>
      <c r="C5" s="13" t="s">
        <v>767</v>
      </c>
      <c r="D5" s="13" t="n">
        <f aca="false">COUNTIF(Keywords!$F$2:$F$1355,C5)</f>
        <v>44</v>
      </c>
      <c r="E5" s="13" t="n">
        <f aca="false">SUMIFS(Keywords!$M$2:$M$1355,Keywords!$F$2:$F$1355,C5,Keywords!$Q$2:$Q$1355,"Y")</f>
        <v>0</v>
      </c>
      <c r="F5" s="13" t="s">
        <v>1533</v>
      </c>
      <c r="G5" s="13" t="s">
        <v>1534</v>
      </c>
      <c r="H5" s="13" t="s">
        <v>1535</v>
      </c>
      <c r="I5" s="13" t="s">
        <v>1536</v>
      </c>
      <c r="J5" s="13" t="s">
        <v>1520</v>
      </c>
    </row>
    <row r="6" customFormat="false" ht="23.85" hidden="false" customHeight="false" outlineLevel="0" collapsed="false">
      <c r="A6" s="13" t="s">
        <v>794</v>
      </c>
      <c r="B6" s="13" t="s">
        <v>1537</v>
      </c>
      <c r="C6" s="13" t="s">
        <v>795</v>
      </c>
      <c r="D6" s="13" t="n">
        <f aca="false">COUNTIF(Keywords!$F$2:$F$1355,C6)</f>
        <v>25</v>
      </c>
      <c r="E6" s="13" t="n">
        <f aca="false">SUMIFS(Keywords!$M$2:$M$1355,Keywords!$F$2:$F$1355,C6,Keywords!$Q$2:$Q$1355,"Y")</f>
        <v>0</v>
      </c>
      <c r="F6" s="13" t="s">
        <v>1538</v>
      </c>
      <c r="G6" s="13" t="s">
        <v>1539</v>
      </c>
      <c r="H6" s="13" t="s">
        <v>1540</v>
      </c>
      <c r="I6" s="13" t="s">
        <v>1541</v>
      </c>
      <c r="J6" s="13" t="s">
        <v>1520</v>
      </c>
    </row>
    <row r="7" customFormat="false" ht="23.85" hidden="false" customHeight="false" outlineLevel="0" collapsed="false">
      <c r="A7" s="13" t="s">
        <v>794</v>
      </c>
      <c r="B7" s="13" t="s">
        <v>1542</v>
      </c>
      <c r="C7" s="13" t="s">
        <v>822</v>
      </c>
      <c r="D7" s="13" t="n">
        <f aca="false">COUNTIF(Keywords!$F$2:$F$1355,C7)</f>
        <v>25</v>
      </c>
      <c r="E7" s="13" t="n">
        <f aca="false">SUMIFS(Keywords!$M$2:$M$1355,Keywords!$F$2:$F$1355,C7,Keywords!$Q$2:$Q$1355,"Y")</f>
        <v>0</v>
      </c>
      <c r="F7" s="13" t="s">
        <v>1543</v>
      </c>
      <c r="G7" s="13" t="s">
        <v>1544</v>
      </c>
      <c r="H7" s="13" t="s">
        <v>1545</v>
      </c>
      <c r="I7" s="13" t="s">
        <v>1541</v>
      </c>
      <c r="J7" s="13" t="s">
        <v>1520</v>
      </c>
    </row>
    <row r="8" customFormat="false" ht="23.85" hidden="false" customHeight="false" outlineLevel="0" collapsed="false">
      <c r="A8" s="13" t="s">
        <v>794</v>
      </c>
      <c r="B8" s="13" t="s">
        <v>1546</v>
      </c>
      <c r="C8" s="13" t="s">
        <v>848</v>
      </c>
      <c r="D8" s="13" t="n">
        <f aca="false">COUNTIF(Keywords!$F$2:$F$1355,C8)</f>
        <v>25</v>
      </c>
      <c r="E8" s="13" t="n">
        <f aca="false">SUMIFS(Keywords!$M$2:$M$1355,Keywords!$F$2:$F$1355,C8,Keywords!$Q$2:$Q$1355,"Y")</f>
        <v>0</v>
      </c>
      <c r="F8" s="13" t="s">
        <v>1547</v>
      </c>
      <c r="G8" s="13" t="s">
        <v>1548</v>
      </c>
      <c r="H8" s="13" t="s">
        <v>1549</v>
      </c>
      <c r="I8" s="13" t="s">
        <v>1531</v>
      </c>
      <c r="J8" s="13" t="s">
        <v>1526</v>
      </c>
    </row>
    <row r="9" customFormat="false" ht="23.85" hidden="false" customHeight="false" outlineLevel="0" collapsed="false">
      <c r="A9" s="13" t="s">
        <v>794</v>
      </c>
      <c r="B9" s="13" t="s">
        <v>1550</v>
      </c>
      <c r="C9" s="13" t="s">
        <v>874</v>
      </c>
      <c r="D9" s="13" t="n">
        <f aca="false">COUNTIF(Keywords!$F$2:$F$1355,C9)</f>
        <v>25</v>
      </c>
      <c r="E9" s="13" t="n">
        <f aca="false">SUMIFS(Keywords!$M$2:$M$1355,Keywords!$F$2:$F$1355,C9,Keywords!$Q$2:$Q$1355,"Y")</f>
        <v>0</v>
      </c>
      <c r="F9" s="13" t="s">
        <v>1551</v>
      </c>
      <c r="G9" s="13" t="s">
        <v>1552</v>
      </c>
      <c r="H9" s="13" t="s">
        <v>1553</v>
      </c>
      <c r="I9" s="13" t="s">
        <v>1531</v>
      </c>
      <c r="J9" s="13" t="s">
        <v>1526</v>
      </c>
    </row>
    <row r="10" customFormat="false" ht="15" hidden="false" customHeight="false" outlineLevel="0" collapsed="false">
      <c r="A10" s="13" t="s">
        <v>794</v>
      </c>
      <c r="B10" s="13" t="s">
        <v>1554</v>
      </c>
      <c r="C10" s="13" t="s">
        <v>900</v>
      </c>
      <c r="D10" s="13" t="n">
        <f aca="false">COUNTIF(Keywords!$F$2:$F$1355,C10)</f>
        <v>25</v>
      </c>
      <c r="E10" s="13" t="n">
        <f aca="false">SUMIFS(Keywords!$M$2:$M$1355,Keywords!$F$2:$F$1355,C10,Keywords!$Q$2:$Q$1355,"Y")</f>
        <v>0</v>
      </c>
      <c r="F10" s="13" t="s">
        <v>1555</v>
      </c>
      <c r="G10" s="13" t="s">
        <v>1556</v>
      </c>
      <c r="H10" s="13" t="s">
        <v>1553</v>
      </c>
      <c r="I10" s="13" t="s">
        <v>1531</v>
      </c>
      <c r="J10" s="13" t="s">
        <v>1526</v>
      </c>
    </row>
    <row r="11" customFormat="false" ht="23.85" hidden="false" customHeight="false" outlineLevel="0" collapsed="false">
      <c r="A11" s="13" t="s">
        <v>794</v>
      </c>
      <c r="B11" s="13" t="s">
        <v>1557</v>
      </c>
      <c r="C11" s="13" t="s">
        <v>1558</v>
      </c>
      <c r="D11" s="13" t="n">
        <f aca="false">COUNTIF(Keywords!$F$2:$F$1355,C11)</f>
        <v>0</v>
      </c>
      <c r="E11" s="13" t="n">
        <f aca="false">SUMIFS(Keywords!$M$2:$M$1355,Keywords!$F$2:$F$1355,C11,Keywords!$Q$2:$Q$1355,"Y")</f>
        <v>0</v>
      </c>
      <c r="F11" s="13" t="s">
        <v>1559</v>
      </c>
      <c r="G11" s="13" t="s">
        <v>1560</v>
      </c>
      <c r="H11" s="13" t="s">
        <v>1561</v>
      </c>
      <c r="I11" s="13" t="s">
        <v>1531</v>
      </c>
      <c r="J11" s="13" t="s">
        <v>1526</v>
      </c>
    </row>
    <row r="12" customFormat="false" ht="23.85" hidden="false" customHeight="false" outlineLevel="0" collapsed="false">
      <c r="A12" s="13" t="s">
        <v>794</v>
      </c>
      <c r="B12" s="13" t="s">
        <v>1562</v>
      </c>
      <c r="C12" s="13" t="s">
        <v>1082</v>
      </c>
      <c r="D12" s="13" t="n">
        <f aca="false">COUNTIF(Keywords!$F$2:$F$1355,C12)</f>
        <v>25</v>
      </c>
      <c r="E12" s="13" t="n">
        <f aca="false">SUMIFS(Keywords!$M$2:$M$1355,Keywords!$F$2:$F$1355,C12,Keywords!$Q$2:$Q$1355,"Y")</f>
        <v>0</v>
      </c>
      <c r="F12" s="13" t="s">
        <v>1563</v>
      </c>
      <c r="G12" s="13" t="s">
        <v>1564</v>
      </c>
      <c r="H12" s="13" t="s">
        <v>1565</v>
      </c>
      <c r="I12" s="13" t="s">
        <v>1525</v>
      </c>
      <c r="J12" s="13" t="s">
        <v>1526</v>
      </c>
    </row>
    <row r="13" customFormat="false" ht="23.85" hidden="false" customHeight="false" outlineLevel="0" collapsed="false">
      <c r="A13" s="13" t="s">
        <v>794</v>
      </c>
      <c r="B13" s="13" t="s">
        <v>1566</v>
      </c>
      <c r="C13" s="13" t="s">
        <v>1567</v>
      </c>
      <c r="D13" s="13" t="n">
        <f aca="false">COUNTIF(Keywords!$F$2:$F$1355,C13)</f>
        <v>0</v>
      </c>
      <c r="E13" s="13" t="n">
        <f aca="false">SUMIFS(Keywords!$M$2:$M$1355,Keywords!$F$2:$F$1355,C13,Keywords!$Q$2:$Q$1355,"Y")</f>
        <v>0</v>
      </c>
      <c r="F13" s="13" t="s">
        <v>1568</v>
      </c>
      <c r="G13" s="13" t="s">
        <v>1569</v>
      </c>
      <c r="H13" s="13" t="s">
        <v>1553</v>
      </c>
      <c r="I13" s="13" t="s">
        <v>1531</v>
      </c>
      <c r="J13" s="13" t="s">
        <v>1526</v>
      </c>
    </row>
    <row r="14" customFormat="false" ht="35.05" hidden="false" customHeight="false" outlineLevel="0" collapsed="false">
      <c r="A14" s="13" t="s">
        <v>1108</v>
      </c>
      <c r="B14" s="13" t="s">
        <v>1570</v>
      </c>
      <c r="C14" s="13" t="s">
        <v>1109</v>
      </c>
      <c r="D14" s="13" t="n">
        <f aca="false">COUNTIF(Keywords!$F$2:$F$1355,C14)</f>
        <v>25</v>
      </c>
      <c r="E14" s="13" t="n">
        <f aca="false">SUMIFS(Keywords!$M$2:$M$1355,Keywords!$F$2:$F$1355,C14,Keywords!$Q$2:$Q$1355,"Y")</f>
        <v>0</v>
      </c>
      <c r="F14" s="13" t="s">
        <v>1571</v>
      </c>
      <c r="G14" s="13" t="s">
        <v>1572</v>
      </c>
      <c r="H14" s="13" t="s">
        <v>1573</v>
      </c>
      <c r="I14" s="13" t="s">
        <v>1525</v>
      </c>
      <c r="J14" s="13" t="s">
        <v>1526</v>
      </c>
    </row>
    <row r="15" customFormat="false" ht="15" hidden="false" customHeight="false" outlineLevel="0" collapsed="false">
      <c r="A15" s="13" t="s">
        <v>1108</v>
      </c>
      <c r="B15" s="13" t="s">
        <v>1574</v>
      </c>
      <c r="C15" s="13" t="s">
        <v>1187</v>
      </c>
      <c r="D15" s="13" t="n">
        <f aca="false">COUNTIF(Keywords!$F$2:$F$1355,C15)</f>
        <v>25</v>
      </c>
      <c r="E15" s="13" t="n">
        <f aca="false">SUMIFS(Keywords!$M$2:$M$1355,Keywords!$F$2:$F$1355,C15,Keywords!$Q$2:$Q$1355,"Y")</f>
        <v>0</v>
      </c>
      <c r="F15" s="13" t="s">
        <v>1575</v>
      </c>
      <c r="G15" s="13" t="s">
        <v>1576</v>
      </c>
      <c r="H15" s="13" t="s">
        <v>1553</v>
      </c>
      <c r="I15" s="13" t="s">
        <v>1531</v>
      </c>
      <c r="J15" s="13" t="s">
        <v>1526</v>
      </c>
    </row>
    <row r="16" customFormat="false" ht="23.85" hidden="false" customHeight="false" outlineLevel="0" collapsed="false">
      <c r="A16" s="13" t="s">
        <v>1108</v>
      </c>
      <c r="B16" s="13" t="s">
        <v>1577</v>
      </c>
      <c r="C16" s="13" t="s">
        <v>1239</v>
      </c>
      <c r="D16" s="13" t="n">
        <f aca="false">COUNTIF(Keywords!$F$2:$F$1355,C16)</f>
        <v>25</v>
      </c>
      <c r="E16" s="13" t="n">
        <f aca="false">SUMIFS(Keywords!$M$2:$M$1355,Keywords!$F$2:$F$1355,C16,Keywords!$Q$2:$Q$1355,"Y")</f>
        <v>0</v>
      </c>
      <c r="F16" s="13" t="s">
        <v>1578</v>
      </c>
      <c r="G16" s="13" t="s">
        <v>1579</v>
      </c>
      <c r="H16" s="13" t="s">
        <v>1580</v>
      </c>
      <c r="I16" s="13" t="s">
        <v>1531</v>
      </c>
      <c r="J16" s="13" t="s">
        <v>1520</v>
      </c>
    </row>
    <row r="17" customFormat="false" ht="15" hidden="false" customHeight="false" outlineLevel="0" collapsed="false">
      <c r="A17" s="13" t="s">
        <v>1108</v>
      </c>
      <c r="B17" s="13" t="s">
        <v>1581</v>
      </c>
      <c r="C17" s="13" t="s">
        <v>1567</v>
      </c>
      <c r="D17" s="13" t="n">
        <f aca="false">COUNTIF(Keywords!$F$2:$F$1355,C17)</f>
        <v>0</v>
      </c>
      <c r="E17" s="13" t="n">
        <f aca="false">SUMIFS(Keywords!$M$2:$M$1355,Keywords!$F$2:$F$1355,C17,Keywords!$Q$2:$Q$1355,"Y")</f>
        <v>0</v>
      </c>
      <c r="F17" s="13" t="s">
        <v>1582</v>
      </c>
      <c r="G17" s="13" t="s">
        <v>1583</v>
      </c>
      <c r="H17" s="13" t="s">
        <v>1553</v>
      </c>
      <c r="I17" s="13" t="s">
        <v>1531</v>
      </c>
      <c r="J17" s="13" t="s">
        <v>1526</v>
      </c>
    </row>
    <row r="18" customFormat="false" ht="23.85" hidden="false" customHeight="false" outlineLevel="0" collapsed="false">
      <c r="A18" s="13" t="s">
        <v>1291</v>
      </c>
      <c r="B18" s="13" t="s">
        <v>1584</v>
      </c>
      <c r="C18" s="13" t="s">
        <v>1292</v>
      </c>
      <c r="D18" s="13" t="n">
        <f aca="false">COUNTIF(Keywords!$F$2:$F$1355,C18)</f>
        <v>26</v>
      </c>
      <c r="E18" s="13" t="n">
        <f aca="false">SUMIFS(Keywords!$M$2:$M$1355,Keywords!$F$2:$F$1355,C18,Keywords!$Q$2:$Q$1355,"Y")</f>
        <v>0</v>
      </c>
      <c r="F18" s="13" t="s">
        <v>1585</v>
      </c>
      <c r="G18" s="13" t="s">
        <v>1586</v>
      </c>
      <c r="H18" s="13" t="s">
        <v>1587</v>
      </c>
      <c r="I18" s="13" t="s">
        <v>1525</v>
      </c>
      <c r="J18" s="13" t="s">
        <v>1526</v>
      </c>
    </row>
    <row r="19" customFormat="false" ht="15" hidden="false" customHeight="false" outlineLevel="0" collapsed="false">
      <c r="A19" s="13" t="s">
        <v>1291</v>
      </c>
      <c r="B19" s="13" t="s">
        <v>1588</v>
      </c>
      <c r="C19" s="13" t="s">
        <v>1320</v>
      </c>
      <c r="D19" s="13" t="n">
        <f aca="false">COUNTIF(Keywords!$F$2:$F$1355,C19)</f>
        <v>26</v>
      </c>
      <c r="E19" s="13" t="n">
        <f aca="false">SUMIFS(Keywords!$M$2:$M$1355,Keywords!$F$2:$F$1355,C19,Keywords!$Q$2:$Q$1355,"Y")</f>
        <v>0</v>
      </c>
      <c r="F19" s="13" t="s">
        <v>1589</v>
      </c>
      <c r="G19" s="13" t="s">
        <v>1590</v>
      </c>
      <c r="H19" s="13" t="s">
        <v>1480</v>
      </c>
      <c r="I19" s="13" t="s">
        <v>1525</v>
      </c>
      <c r="J19" s="13" t="s">
        <v>1526</v>
      </c>
    </row>
    <row r="20" customFormat="false" ht="23.85" hidden="false" customHeight="false" outlineLevel="0" collapsed="false">
      <c r="A20" s="13" t="s">
        <v>1291</v>
      </c>
      <c r="B20" s="13" t="s">
        <v>1591</v>
      </c>
      <c r="C20" s="13" t="s">
        <v>1567</v>
      </c>
      <c r="D20" s="13" t="n">
        <f aca="false">COUNTIF(Keywords!$F$2:$F$1355,C20)</f>
        <v>0</v>
      </c>
      <c r="E20" s="13" t="n">
        <f aca="false">SUMIFS(Keywords!$M$2:$M$1355,Keywords!$F$2:$F$1355,C20,Keywords!$Q$2:$Q$1355,"Y")</f>
        <v>0</v>
      </c>
      <c r="F20" s="13" t="s">
        <v>1592</v>
      </c>
      <c r="G20" s="13" t="s">
        <v>1593</v>
      </c>
      <c r="H20" s="13" t="s">
        <v>1553</v>
      </c>
      <c r="I20" s="13" t="s">
        <v>1531</v>
      </c>
      <c r="J20" s="13" t="s">
        <v>1526</v>
      </c>
    </row>
    <row r="21" customFormat="false" ht="15" hidden="false" customHeight="false" outlineLevel="0" collapsed="false">
      <c r="A21" s="13" t="s">
        <v>1291</v>
      </c>
      <c r="B21" s="13" t="s">
        <v>1594</v>
      </c>
      <c r="C21" s="13" t="s">
        <v>1567</v>
      </c>
      <c r="D21" s="13" t="n">
        <f aca="false">COUNTIF(Keywords!$F$2:$F$1355,C21)</f>
        <v>0</v>
      </c>
      <c r="E21" s="13" t="n">
        <f aca="false">SUMIFS(Keywords!$M$2:$M$1355,Keywords!$F$2:$F$1355,C21,Keywords!$Q$2:$Q$1355,"Y")</f>
        <v>0</v>
      </c>
      <c r="F21" s="13" t="s">
        <v>1595</v>
      </c>
      <c r="G21" s="13" t="s">
        <v>1583</v>
      </c>
      <c r="H21" s="13" t="s">
        <v>1553</v>
      </c>
      <c r="I21" s="13" t="s">
        <v>1531</v>
      </c>
      <c r="J21" s="13" t="s">
        <v>1526</v>
      </c>
    </row>
    <row r="23" customFormat="false" ht="15" hidden="false" customHeight="false" outlineLevel="0" collapsed="false">
      <c r="A23" s="14" t="s">
        <v>1596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2" min="2" style="0" width="45"/>
    <col collapsed="false" customWidth="true" hidden="false" outlineLevel="0" max="3" min="3" style="0" width="50"/>
    <col collapsed="false" customWidth="true" hidden="false" outlineLevel="0" max="4" min="4" style="0" width="22"/>
  </cols>
  <sheetData>
    <row r="1" customFormat="false" ht="15" hidden="false" customHeight="false" outlineLevel="0" collapsed="false">
      <c r="A1" s="15" t="s">
        <v>1597</v>
      </c>
      <c r="B1" s="15" t="s">
        <v>1598</v>
      </c>
      <c r="C1" s="15" t="s">
        <v>1599</v>
      </c>
      <c r="D1" s="15" t="s">
        <v>1600</v>
      </c>
    </row>
    <row r="2" customFormat="false" ht="15" hidden="false" customHeight="false" outlineLevel="0" collapsed="false">
      <c r="A2" s="13" t="s">
        <v>1601</v>
      </c>
      <c r="B2" s="13" t="s">
        <v>1602</v>
      </c>
      <c r="C2" s="13" t="s">
        <v>1603</v>
      </c>
      <c r="D2" s="13" t="s">
        <v>1604</v>
      </c>
    </row>
    <row r="3" customFormat="false" ht="15" hidden="false" customHeight="false" outlineLevel="0" collapsed="false">
      <c r="A3" s="13" t="s">
        <v>1605</v>
      </c>
      <c r="B3" s="13" t="s">
        <v>1606</v>
      </c>
      <c r="C3" s="13" t="s">
        <v>1607</v>
      </c>
      <c r="D3" s="13" t="s">
        <v>1604</v>
      </c>
    </row>
    <row r="4" customFormat="false" ht="15" hidden="false" customHeight="false" outlineLevel="0" collapsed="false">
      <c r="A4" s="13" t="s">
        <v>1608</v>
      </c>
      <c r="B4" s="13" t="s">
        <v>1609</v>
      </c>
      <c r="C4" s="13" t="s">
        <v>1610</v>
      </c>
      <c r="D4" s="13" t="s">
        <v>1604</v>
      </c>
    </row>
    <row r="5" customFormat="false" ht="23.85" hidden="false" customHeight="false" outlineLevel="0" collapsed="false">
      <c r="A5" s="13" t="s">
        <v>1611</v>
      </c>
      <c r="B5" s="13" t="s">
        <v>1612</v>
      </c>
      <c r="C5" s="13" t="s">
        <v>1613</v>
      </c>
      <c r="D5" s="13" t="s">
        <v>74</v>
      </c>
    </row>
    <row r="6" customFormat="false" ht="15" hidden="false" customHeight="false" outlineLevel="0" collapsed="false">
      <c r="A6" s="13" t="s">
        <v>1614</v>
      </c>
      <c r="B6" s="13" t="s">
        <v>1615</v>
      </c>
      <c r="C6" s="13" t="s">
        <v>1610</v>
      </c>
      <c r="D6" s="13" t="s">
        <v>1616</v>
      </c>
    </row>
    <row r="7" customFormat="false" ht="15" hidden="false" customHeight="false" outlineLevel="0" collapsed="false">
      <c r="A7" s="13" t="s">
        <v>1617</v>
      </c>
      <c r="B7" s="13" t="s">
        <v>1618</v>
      </c>
      <c r="C7" s="13" t="s">
        <v>1619</v>
      </c>
      <c r="D7" s="13" t="s">
        <v>1620</v>
      </c>
    </row>
    <row r="8" customFormat="false" ht="15" hidden="false" customHeight="false" outlineLevel="0" collapsed="false">
      <c r="A8" s="13" t="s">
        <v>1621</v>
      </c>
      <c r="B8" s="13" t="s">
        <v>1622</v>
      </c>
      <c r="C8" s="13" t="s">
        <v>1610</v>
      </c>
      <c r="D8" s="13" t="s">
        <v>1623</v>
      </c>
    </row>
    <row r="9" customFormat="false" ht="23.85" hidden="false" customHeight="false" outlineLevel="0" collapsed="false">
      <c r="A9" s="13" t="s">
        <v>1624</v>
      </c>
      <c r="B9" s="13" t="s">
        <v>1625</v>
      </c>
      <c r="C9" s="13" t="s">
        <v>1626</v>
      </c>
      <c r="D9" s="13" t="s">
        <v>589</v>
      </c>
    </row>
    <row r="10" customFormat="false" ht="15" hidden="false" customHeight="false" outlineLevel="0" collapsed="false">
      <c r="A10" s="13" t="s">
        <v>1627</v>
      </c>
      <c r="B10" s="13" t="s">
        <v>1628</v>
      </c>
      <c r="C10" s="13" t="s">
        <v>1629</v>
      </c>
      <c r="D10" s="13" t="s">
        <v>1604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0"/>
    <col collapsed="false" customWidth="true" hidden="false" outlineLevel="0" max="3" min="3" style="0" width="55"/>
  </cols>
  <sheetData>
    <row r="1" customFormat="false" ht="15" hidden="false" customHeight="false" outlineLevel="0" collapsed="false">
      <c r="A1" s="16" t="s">
        <v>1630</v>
      </c>
    </row>
    <row r="2" customFormat="false" ht="15" hidden="false" customHeight="false" outlineLevel="0" collapsed="false">
      <c r="A2" s="9" t="s">
        <v>39</v>
      </c>
      <c r="B2" s="17" t="n">
        <v>1</v>
      </c>
      <c r="C2" s="18" t="s">
        <v>1631</v>
      </c>
    </row>
    <row r="3" customFormat="false" ht="15" hidden="false" customHeight="false" outlineLevel="0" collapsed="false">
      <c r="A3" s="9" t="s">
        <v>394</v>
      </c>
      <c r="B3" s="17" t="n">
        <v>0.7</v>
      </c>
      <c r="C3" s="18" t="s">
        <v>1632</v>
      </c>
    </row>
    <row r="4" customFormat="false" ht="15" hidden="false" customHeight="false" outlineLevel="0" collapsed="false">
      <c r="A4" s="9" t="s">
        <v>404</v>
      </c>
      <c r="B4" s="17" t="n">
        <v>0.25</v>
      </c>
      <c r="C4" s="18" t="s">
        <v>1633</v>
      </c>
    </row>
    <row r="6" customFormat="false" ht="15" hidden="false" customHeight="false" outlineLevel="0" collapsed="false">
      <c r="A6" s="16" t="s">
        <v>1634</v>
      </c>
    </row>
    <row r="7" customFormat="false" ht="15" hidden="false" customHeight="false" outlineLevel="0" collapsed="false">
      <c r="A7" s="9" t="s">
        <v>37</v>
      </c>
      <c r="B7" s="17" t="n">
        <v>1</v>
      </c>
      <c r="C7" s="18" t="s">
        <v>1635</v>
      </c>
    </row>
    <row r="8" customFormat="false" ht="15" hidden="false" customHeight="false" outlineLevel="0" collapsed="false">
      <c r="A8" s="9" t="s">
        <v>656</v>
      </c>
      <c r="B8" s="17" t="n">
        <v>1.3</v>
      </c>
      <c r="C8" s="18" t="s">
        <v>1636</v>
      </c>
    </row>
    <row r="9" customFormat="false" ht="15" hidden="false" customHeight="false" outlineLevel="0" collapsed="false">
      <c r="A9" s="9" t="s">
        <v>794</v>
      </c>
      <c r="B9" s="17" t="n">
        <v>0.3</v>
      </c>
      <c r="C9" s="18" t="s">
        <v>1637</v>
      </c>
    </row>
    <row r="10" customFormat="false" ht="15" hidden="false" customHeight="false" outlineLevel="0" collapsed="false">
      <c r="A10" s="9" t="s">
        <v>1108</v>
      </c>
      <c r="B10" s="17" t="n">
        <v>0.2</v>
      </c>
      <c r="C10" s="18" t="s">
        <v>1638</v>
      </c>
    </row>
    <row r="11" customFormat="false" ht="15" hidden="false" customHeight="false" outlineLevel="0" collapsed="false">
      <c r="A11" s="9" t="s">
        <v>1291</v>
      </c>
      <c r="B11" s="17" t="n">
        <v>0.2</v>
      </c>
      <c r="C11" s="18" t="s">
        <v>1638</v>
      </c>
    </row>
    <row r="13" customFormat="false" ht="15" hidden="false" customHeight="false" outlineLevel="0" collapsed="false">
      <c r="A13" s="16" t="s">
        <v>1639</v>
      </c>
    </row>
    <row r="14" customFormat="false" ht="15" hidden="false" customHeight="false" outlineLevel="0" collapsed="false">
      <c r="A14" s="9" t="s">
        <v>1640</v>
      </c>
      <c r="B14" s="17" t="n">
        <v>1</v>
      </c>
      <c r="C14" s="18" t="s">
        <v>1641</v>
      </c>
    </row>
    <row r="15" customFormat="false" ht="15" hidden="false" customHeight="false" outlineLevel="0" collapsed="false">
      <c r="A15" s="9" t="s">
        <v>1642</v>
      </c>
      <c r="B15" s="17" t="n">
        <v>0.6</v>
      </c>
      <c r="C15" s="18" t="s">
        <v>1643</v>
      </c>
    </row>
    <row r="16" customFormat="false" ht="15" hidden="false" customHeight="false" outlineLevel="0" collapsed="false">
      <c r="A16" s="9" t="s">
        <v>1644</v>
      </c>
      <c r="B16" s="17" t="n">
        <v>0.3</v>
      </c>
      <c r="C16" s="18" t="s">
        <v>1645</v>
      </c>
    </row>
    <row r="17" customFormat="false" ht="15" hidden="false" customHeight="false" outlineLevel="0" collapsed="false">
      <c r="A17" s="9" t="s">
        <v>1646</v>
      </c>
      <c r="B17" s="17" t="n">
        <v>0.05</v>
      </c>
      <c r="C17" s="18" t="s">
        <v>1647</v>
      </c>
    </row>
    <row r="19" customFormat="false" ht="15" hidden="false" customHeight="false" outlineLevel="0" collapsed="false">
      <c r="A19" s="14" t="s">
        <v>1648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2026-10-01T18:48:22Z</dcterms:created>
  <dc:creator>openpyxl</dc:creator>
  <dc:description/>
  <dc:language>en-US</dc:language>
  <cp:lastModifiedBy/>
  <dcterms:modified xsi:type="dcterms:W3CDTF">2026-10-01T18:48:24Z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